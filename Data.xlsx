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a16158d391f96e/VESIM/F Project/"/>
    </mc:Choice>
  </mc:AlternateContent>
  <xr:revisionPtr revIDLastSave="54" documentId="8_{50774F95-3B7D-4E97-8BAC-05B4A4252F32}" xr6:coauthVersionLast="47" xr6:coauthVersionMax="47" xr10:uidLastSave="{E468F8E7-DB20-4C66-9868-A968973B69C5}"/>
  <bookViews>
    <workbookView xWindow="-110" yWindow="-110" windowWidth="19420" windowHeight="10300" xr2:uid="{5D7DE7EE-E291-4F8C-9A20-C7850E97B073}"/>
  </bookViews>
  <sheets>
    <sheet name="Charts" sheetId="11" r:id="rId1"/>
    <sheet name="Tables" sheetId="9" r:id="rId2"/>
    <sheet name="Con. D" sheetId="5" r:id="rId3"/>
    <sheet name="Banking" sheetId="6" r:id="rId4"/>
    <sheet name="Auto. M" sheetId="7" r:id="rId5"/>
    <sheet name="data" sheetId="4" state="hidden" r:id="rId6"/>
    <sheet name="Data2" sheetId="1" state="hidden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9" l="1"/>
  <c r="G21" i="9"/>
  <c r="D21" i="9"/>
  <c r="H20" i="9"/>
  <c r="G20" i="9"/>
  <c r="D20" i="9"/>
  <c r="H19" i="9"/>
  <c r="G19" i="9"/>
  <c r="D19" i="9"/>
  <c r="H18" i="9"/>
  <c r="G18" i="9"/>
  <c r="C18" i="9"/>
  <c r="H17" i="9"/>
  <c r="G17" i="9"/>
  <c r="C17" i="9"/>
  <c r="H16" i="9"/>
  <c r="G16" i="9"/>
  <c r="C16" i="9"/>
  <c r="H15" i="9"/>
  <c r="G15" i="9"/>
  <c r="B15" i="9"/>
  <c r="H14" i="9"/>
  <c r="G14" i="9"/>
  <c r="B14" i="9"/>
  <c r="H13" i="9"/>
  <c r="G13" i="9"/>
  <c r="B13" i="9"/>
  <c r="H10" i="9"/>
  <c r="G10" i="9"/>
  <c r="H9" i="9"/>
  <c r="G9" i="9"/>
  <c r="H8" i="9"/>
  <c r="G8" i="9"/>
  <c r="H7" i="9"/>
  <c r="G7" i="9"/>
  <c r="H6" i="9"/>
  <c r="G6" i="9"/>
  <c r="H5" i="9"/>
  <c r="G5" i="9"/>
  <c r="H4" i="9"/>
  <c r="G4" i="9"/>
  <c r="H3" i="9"/>
  <c r="G3" i="9"/>
  <c r="H2" i="9"/>
  <c r="G2" i="9"/>
  <c r="T9" i="7"/>
  <c r="T9" i="6"/>
  <c r="T9" i="5"/>
  <c r="R8" i="7"/>
  <c r="P8" i="7"/>
  <c r="N8" i="7"/>
  <c r="L8" i="7"/>
  <c r="J8" i="7"/>
  <c r="H8" i="7"/>
  <c r="F8" i="7"/>
  <c r="D8" i="7"/>
  <c r="E8" i="7" s="1"/>
  <c r="B8" i="7"/>
  <c r="R7" i="7"/>
  <c r="P7" i="7"/>
  <c r="N7" i="7"/>
  <c r="L7" i="7"/>
  <c r="J7" i="7"/>
  <c r="H7" i="7"/>
  <c r="F7" i="7"/>
  <c r="G7" i="7" s="1"/>
  <c r="D7" i="7"/>
  <c r="B7" i="7"/>
  <c r="R6" i="7"/>
  <c r="P6" i="7"/>
  <c r="N6" i="7"/>
  <c r="L6" i="7"/>
  <c r="J6" i="7"/>
  <c r="H6" i="7"/>
  <c r="I6" i="7" s="1"/>
  <c r="F6" i="7"/>
  <c r="D6" i="7"/>
  <c r="B6" i="7"/>
  <c r="R5" i="7"/>
  <c r="P5" i="7"/>
  <c r="N5" i="7"/>
  <c r="L5" i="7"/>
  <c r="J5" i="7"/>
  <c r="K5" i="7" s="1"/>
  <c r="H5" i="7"/>
  <c r="F5" i="7"/>
  <c r="D5" i="7"/>
  <c r="B5" i="7"/>
  <c r="R4" i="7"/>
  <c r="S4" i="7" s="1"/>
  <c r="P4" i="7"/>
  <c r="Q4" i="7" s="1"/>
  <c r="N4" i="7"/>
  <c r="O4" i="7" s="1"/>
  <c r="L4" i="7"/>
  <c r="M4" i="7" s="1"/>
  <c r="J4" i="7"/>
  <c r="H4" i="7"/>
  <c r="F4" i="7"/>
  <c r="D4" i="7"/>
  <c r="B4" i="7"/>
  <c r="C4" i="7" s="1"/>
  <c r="I8" i="6"/>
  <c r="I7" i="6"/>
  <c r="I6" i="6"/>
  <c r="I5" i="6"/>
  <c r="I4" i="6"/>
  <c r="I5" i="5"/>
  <c r="I6" i="5"/>
  <c r="I7" i="5"/>
  <c r="I8" i="5"/>
  <c r="I4" i="5"/>
  <c r="K4" i="5"/>
  <c r="S8" i="6"/>
  <c r="S7" i="6"/>
  <c r="S6" i="6"/>
  <c r="S5" i="6"/>
  <c r="S4" i="6"/>
  <c r="Q8" i="6"/>
  <c r="Q7" i="6"/>
  <c r="Q6" i="6"/>
  <c r="Q5" i="6"/>
  <c r="Q4" i="6"/>
  <c r="O4" i="6"/>
  <c r="O5" i="6"/>
  <c r="O6" i="6"/>
  <c r="O7" i="6"/>
  <c r="O8" i="6"/>
  <c r="M8" i="6"/>
  <c r="M7" i="6"/>
  <c r="M6" i="6"/>
  <c r="M5" i="6"/>
  <c r="M4" i="6"/>
  <c r="K4" i="6"/>
  <c r="K8" i="6"/>
  <c r="K7" i="6"/>
  <c r="K6" i="6"/>
  <c r="K5" i="6"/>
  <c r="G8" i="6"/>
  <c r="G7" i="6"/>
  <c r="G6" i="6"/>
  <c r="G5" i="6"/>
  <c r="G4" i="6"/>
  <c r="E8" i="6"/>
  <c r="E7" i="6"/>
  <c r="E6" i="6"/>
  <c r="E5" i="6"/>
  <c r="E4" i="6"/>
  <c r="C5" i="6"/>
  <c r="C6" i="6"/>
  <c r="C7" i="6"/>
  <c r="C8" i="6"/>
  <c r="C4" i="6"/>
  <c r="S5" i="5"/>
  <c r="S6" i="5"/>
  <c r="S7" i="5"/>
  <c r="S8" i="5"/>
  <c r="Q5" i="5"/>
  <c r="Q6" i="5"/>
  <c r="Q7" i="5"/>
  <c r="Q8" i="5"/>
  <c r="Q4" i="5"/>
  <c r="S4" i="5"/>
  <c r="M5" i="5"/>
  <c r="M6" i="5"/>
  <c r="M7" i="5"/>
  <c r="M8" i="5"/>
  <c r="M4" i="5"/>
  <c r="K5" i="5"/>
  <c r="K6" i="5"/>
  <c r="K7" i="5"/>
  <c r="K8" i="5"/>
  <c r="G5" i="5"/>
  <c r="G6" i="5"/>
  <c r="G7" i="5"/>
  <c r="G8" i="5"/>
  <c r="G4" i="5"/>
  <c r="E5" i="5"/>
  <c r="E6" i="5"/>
  <c r="E7" i="5"/>
  <c r="E8" i="5"/>
  <c r="E4" i="5"/>
  <c r="C5" i="5"/>
  <c r="C6" i="5"/>
  <c r="C7" i="5"/>
  <c r="C8" i="5"/>
  <c r="C4" i="5"/>
  <c r="O5" i="5"/>
  <c r="O6" i="5"/>
  <c r="O7" i="5"/>
  <c r="O8" i="5"/>
  <c r="O4" i="5"/>
  <c r="R8" i="5"/>
  <c r="P8" i="5"/>
  <c r="N8" i="5"/>
  <c r="L8" i="5"/>
  <c r="J8" i="5"/>
  <c r="H8" i="5"/>
  <c r="F8" i="5"/>
  <c r="D8" i="5"/>
  <c r="B8" i="5"/>
  <c r="R7" i="5"/>
  <c r="P7" i="5"/>
  <c r="N7" i="5"/>
  <c r="L7" i="5"/>
  <c r="J7" i="5"/>
  <c r="H7" i="5"/>
  <c r="F7" i="5"/>
  <c r="D7" i="5"/>
  <c r="B7" i="5"/>
  <c r="R6" i="5"/>
  <c r="P6" i="5"/>
  <c r="N6" i="5"/>
  <c r="L6" i="5"/>
  <c r="J6" i="5"/>
  <c r="H6" i="5"/>
  <c r="F6" i="5"/>
  <c r="D6" i="5"/>
  <c r="B6" i="5"/>
  <c r="R5" i="5"/>
  <c r="P5" i="5"/>
  <c r="N5" i="5"/>
  <c r="L5" i="5"/>
  <c r="J5" i="5"/>
  <c r="H5" i="5"/>
  <c r="F5" i="5"/>
  <c r="D5" i="5"/>
  <c r="B5" i="5"/>
  <c r="R4" i="5"/>
  <c r="P4" i="5"/>
  <c r="N4" i="5"/>
  <c r="L4" i="5"/>
  <c r="J4" i="5"/>
  <c r="H4" i="5"/>
  <c r="F4" i="5"/>
  <c r="D4" i="5"/>
  <c r="B4" i="5"/>
  <c r="N4" i="6"/>
  <c r="N5" i="6"/>
  <c r="N6" i="6"/>
  <c r="N7" i="6"/>
  <c r="N8" i="6"/>
  <c r="R8" i="6"/>
  <c r="P8" i="6"/>
  <c r="L8" i="6"/>
  <c r="J8" i="6"/>
  <c r="H8" i="6"/>
  <c r="F8" i="6"/>
  <c r="D8" i="6"/>
  <c r="B8" i="6"/>
  <c r="R7" i="6"/>
  <c r="P7" i="6"/>
  <c r="L7" i="6"/>
  <c r="J7" i="6"/>
  <c r="H7" i="6"/>
  <c r="F7" i="6"/>
  <c r="D7" i="6"/>
  <c r="B7" i="6"/>
  <c r="R6" i="6"/>
  <c r="P6" i="6"/>
  <c r="L6" i="6"/>
  <c r="J6" i="6"/>
  <c r="H6" i="6"/>
  <c r="F6" i="6"/>
  <c r="D6" i="6"/>
  <c r="B6" i="6"/>
  <c r="R5" i="6"/>
  <c r="P5" i="6"/>
  <c r="L5" i="6"/>
  <c r="J5" i="6"/>
  <c r="H5" i="6"/>
  <c r="F5" i="6"/>
  <c r="D5" i="6"/>
  <c r="B5" i="6"/>
  <c r="R4" i="6"/>
  <c r="P4" i="6"/>
  <c r="L4" i="6"/>
  <c r="J4" i="6"/>
  <c r="H4" i="6"/>
  <c r="F4" i="6"/>
  <c r="D4" i="6"/>
  <c r="B4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L3" i="4"/>
  <c r="K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3" i="4"/>
  <c r="G8" i="7" l="1"/>
  <c r="M5" i="7"/>
  <c r="I7" i="7"/>
  <c r="M6" i="7"/>
  <c r="K7" i="7"/>
  <c r="Q5" i="7"/>
  <c r="K8" i="7"/>
  <c r="E4" i="7"/>
  <c r="T4" i="7" s="1"/>
  <c r="C5" i="7"/>
  <c r="S5" i="7"/>
  <c r="Q6" i="7"/>
  <c r="O7" i="7"/>
  <c r="M8" i="7"/>
  <c r="G4" i="7"/>
  <c r="E5" i="7"/>
  <c r="C6" i="7"/>
  <c r="T6" i="7" s="1"/>
  <c r="S6" i="7"/>
  <c r="Q7" i="7"/>
  <c r="O8" i="7"/>
  <c r="K6" i="7"/>
  <c r="O5" i="7"/>
  <c r="I8" i="7"/>
  <c r="O6" i="7"/>
  <c r="M7" i="7"/>
  <c r="T7" i="7" s="1"/>
  <c r="I4" i="7"/>
  <c r="G5" i="7"/>
  <c r="E6" i="7"/>
  <c r="C7" i="7"/>
  <c r="S7" i="7"/>
  <c r="Q8" i="7"/>
  <c r="K4" i="7"/>
  <c r="I5" i="7"/>
  <c r="G6" i="7"/>
  <c r="E7" i="7"/>
  <c r="C8" i="7"/>
  <c r="S8" i="7"/>
  <c r="T4" i="5"/>
  <c r="T8" i="5"/>
  <c r="T7" i="5"/>
  <c r="T5" i="5"/>
  <c r="T4" i="6"/>
  <c r="T7" i="6"/>
  <c r="T8" i="6"/>
  <c r="T5" i="6"/>
  <c r="T6" i="6"/>
  <c r="T5" i="7" l="1"/>
  <c r="T8" i="7"/>
  <c r="U8" i="7"/>
  <c r="U7" i="7"/>
  <c r="U6" i="7"/>
  <c r="U5" i="7"/>
  <c r="U4" i="7"/>
  <c r="U4" i="6"/>
  <c r="T6" i="5"/>
  <c r="U4" i="5" s="1"/>
  <c r="U8" i="6"/>
  <c r="U7" i="6"/>
  <c r="U6" i="6"/>
  <c r="U5" i="6"/>
  <c r="U6" i="5" l="1"/>
  <c r="U8" i="5"/>
  <c r="U5" i="5"/>
  <c r="U7" i="5"/>
</calcChain>
</file>

<file path=xl/sharedStrings.xml><?xml version="1.0" encoding="utf-8"?>
<sst xmlns="http://schemas.openxmlformats.org/spreadsheetml/2006/main" count="287" uniqueCount="94">
  <si>
    <t>S.No.</t>
  </si>
  <si>
    <t>Name</t>
  </si>
  <si>
    <r>
      <t>CMP </t>
    </r>
    <r>
      <rPr>
        <sz val="11"/>
        <color rgb="FF737373"/>
        <rFont val="Arial"/>
        <family val="2"/>
      </rPr>
      <t>Rs.</t>
    </r>
  </si>
  <si>
    <t>P/E</t>
  </si>
  <si>
    <r>
      <t>Mar Cap </t>
    </r>
    <r>
      <rPr>
        <sz val="11"/>
        <color rgb="FF737373"/>
        <rFont val="Arial"/>
        <family val="2"/>
      </rPr>
      <t>Rs.Cr.</t>
    </r>
  </si>
  <si>
    <r>
      <t>Div Yld </t>
    </r>
    <r>
      <rPr>
        <sz val="11"/>
        <color rgb="FF737373"/>
        <rFont val="Arial"/>
        <family val="2"/>
      </rPr>
      <t>%</t>
    </r>
  </si>
  <si>
    <r>
      <t>NP Qtr </t>
    </r>
    <r>
      <rPr>
        <sz val="11"/>
        <color rgb="FF737373"/>
        <rFont val="Arial"/>
        <family val="2"/>
      </rPr>
      <t>Rs.Cr.</t>
    </r>
  </si>
  <si>
    <r>
      <t>Qtr Profit Var </t>
    </r>
    <r>
      <rPr>
        <sz val="11"/>
        <color rgb="FF737373"/>
        <rFont val="Arial"/>
        <family val="2"/>
      </rPr>
      <t>%</t>
    </r>
  </si>
  <si>
    <r>
      <t>Sales Qtr </t>
    </r>
    <r>
      <rPr>
        <sz val="11"/>
        <color rgb="FF737373"/>
        <rFont val="Arial"/>
        <family val="2"/>
      </rPr>
      <t>Rs.Cr.</t>
    </r>
  </si>
  <si>
    <r>
      <t>Qtr Sales Var </t>
    </r>
    <r>
      <rPr>
        <sz val="11"/>
        <color rgb="FF737373"/>
        <rFont val="Arial"/>
        <family val="2"/>
      </rPr>
      <t>%</t>
    </r>
  </si>
  <si>
    <r>
      <t>ROCE </t>
    </r>
    <r>
      <rPr>
        <sz val="11"/>
        <color rgb="FF737373"/>
        <rFont val="Arial"/>
        <family val="2"/>
      </rPr>
      <t>%</t>
    </r>
  </si>
  <si>
    <r>
      <t>EPS 12M </t>
    </r>
    <r>
      <rPr>
        <sz val="11"/>
        <color rgb="FF737373"/>
        <rFont val="Arial"/>
        <family val="2"/>
      </rPr>
      <t>Rs.</t>
    </r>
  </si>
  <si>
    <t>Debt / Eq</t>
  </si>
  <si>
    <t>Int Coverage</t>
  </si>
  <si>
    <r>
      <t>ROE </t>
    </r>
    <r>
      <rPr>
        <sz val="11"/>
        <color rgb="FF737373"/>
        <rFont val="Arial"/>
        <family val="2"/>
      </rPr>
      <t>%</t>
    </r>
  </si>
  <si>
    <r>
      <t>Sales Var 3Yrs </t>
    </r>
    <r>
      <rPr>
        <sz val="11"/>
        <color rgb="FF737373"/>
        <rFont val="Arial"/>
        <family val="2"/>
      </rPr>
      <t>%</t>
    </r>
  </si>
  <si>
    <r>
      <t>Profit Var 3Yrs </t>
    </r>
    <r>
      <rPr>
        <sz val="11"/>
        <color rgb="FF737373"/>
        <rFont val="Arial"/>
        <family val="2"/>
      </rPr>
      <t>%</t>
    </r>
  </si>
  <si>
    <t>CMP / BV</t>
  </si>
  <si>
    <t>HDFC Bank</t>
  </si>
  <si>
    <t>ICICI Bank</t>
  </si>
  <si>
    <t>Kotak Mah. Bank</t>
  </si>
  <si>
    <t>Axis Bank</t>
  </si>
  <si>
    <t>IDBI Bank</t>
  </si>
  <si>
    <t>IndusInd Bank</t>
  </si>
  <si>
    <t>Yes Bank</t>
  </si>
  <si>
    <t>Titan Company</t>
  </si>
  <si>
    <t>Asian Paints</t>
  </si>
  <si>
    <t>Dixon Technolog.</t>
  </si>
  <si>
    <t>Havells India</t>
  </si>
  <si>
    <t>Berger Paints</t>
  </si>
  <si>
    <t>Kalyan Jewellers</t>
  </si>
  <si>
    <t>Voltas</t>
  </si>
  <si>
    <t>Blue Star</t>
  </si>
  <si>
    <t>Amber Enterp.</t>
  </si>
  <si>
    <t>PG Electroplast</t>
  </si>
  <si>
    <t>Crompton Gr. Con</t>
  </si>
  <si>
    <t>Whirlpool India</t>
  </si>
  <si>
    <t>Bata India</t>
  </si>
  <si>
    <t>M &amp; M</t>
  </si>
  <si>
    <t>Maruti Suzuki</t>
  </si>
  <si>
    <t>Tata Motors</t>
  </si>
  <si>
    <t>Hyundai Motor I</t>
  </si>
  <si>
    <t>Force Motors</t>
  </si>
  <si>
    <t>Olectra Greentec</t>
  </si>
  <si>
    <t>Mercury EV-Tech</t>
  </si>
  <si>
    <t>P/E Ratio</t>
  </si>
  <si>
    <t>P/B Ratio</t>
  </si>
  <si>
    <t>Debt to Equity</t>
  </si>
  <si>
    <t>Interest Coverage Ratio</t>
  </si>
  <si>
    <t>EPS</t>
  </si>
  <si>
    <t>Return over 3Y (%)</t>
  </si>
  <si>
    <t>Bajaj Auto</t>
  </si>
  <si>
    <t>Sales Growth 3Y (%)</t>
  </si>
  <si>
    <t>Profit Growth 3Y (%)</t>
  </si>
  <si>
    <t>ROCE (%)</t>
  </si>
  <si>
    <t>YOY Sales Growth (%)</t>
  </si>
  <si>
    <t>YOY Profit Growth (%)</t>
  </si>
  <si>
    <t>ROE ratio</t>
  </si>
  <si>
    <r>
      <t>3Yrs return </t>
    </r>
    <r>
      <rPr>
        <sz val="11"/>
        <color rgb="FF737373"/>
        <rFont val="Arial"/>
        <family val="2"/>
      </rPr>
      <t>%</t>
    </r>
  </si>
  <si>
    <t>Total Score (Weighted)</t>
  </si>
  <si>
    <t>Final Rank</t>
  </si>
  <si>
    <t>Stocks</t>
  </si>
  <si>
    <t>Weightage</t>
  </si>
  <si>
    <t>Metrics</t>
  </si>
  <si>
    <t>inverse metrics, lower the better</t>
  </si>
  <si>
    <t>Con.D</t>
  </si>
  <si>
    <t>Banking</t>
  </si>
  <si>
    <t>Auto.M</t>
  </si>
  <si>
    <t>ROE %</t>
  </si>
  <si>
    <t>ROCE %</t>
  </si>
  <si>
    <t>Sector</t>
  </si>
  <si>
    <t>Avg</t>
  </si>
  <si>
    <t>highest</t>
  </si>
  <si>
    <t>Auto. M</t>
  </si>
  <si>
    <t>3Y Return %</t>
  </si>
  <si>
    <t>Profit Gr 3Y %</t>
  </si>
  <si>
    <t>Banking (35% profitability-
35% risk - 15% growth)</t>
  </si>
  <si>
    <t>Consumer Durables (40%
profitability - 30% growth - 20% )</t>
  </si>
  <si>
    <t>Automobile (35% profitability -
30% growth - 20% P/E)</t>
  </si>
  <si>
    <t>ROE</t>
  </si>
  <si>
    <t>● 11.7%</t>
  </si>
  <si>
    <t>● 13.3%</t>
  </si>
  <si>
    <t>ROCE</t>
  </si>
  <si>
    <t>● 20.0%</t>
  </si>
  <si>
    <t>D/E</t>
  </si>
  <si>
    <t>● 15.0%</t>
  </si>
  <si>
    <t>● 10.0%</t>
  </si>
  <si>
    <t>● 7.5%</t>
  </si>
  <si>
    <t>Return 3Y</t>
  </si>
  <si>
    <t>● 5.0%</t>
  </si>
  <si>
    <t>Sales Gr 3Y</t>
  </si>
  <si>
    <t>Profit Gr 3Y</t>
  </si>
  <si>
    <t>ICR</t>
  </si>
  <si>
    <t>● 7.5.0%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</si>
</sst>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737373"/>
      <name val="Arial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b/>
      <sz val="9"/>
      <color rgb="FF2E75B6"/>
      <name val="Arial"/>
      <family val="2"/>
    </font>
    <font>
      <sz val="11"/>
      <color theme="1"/>
      <name val="Calibri"/>
      <family val="2"/>
    </font>
    <font>
      <b/>
      <sz val="9"/>
      <color rgb="FFC9A84C"/>
      <name val="Arial"/>
      <family val="2"/>
    </font>
    <font>
      <b/>
      <sz val="9"/>
      <color rgb="FF375623"/>
      <name val="Arial"/>
      <family val="2"/>
    </font>
    <font>
      <sz val="9"/>
      <color rgb="FF333333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6E4F0"/>
        <bgColor rgb="FFFFFFFF"/>
      </patternFill>
    </fill>
    <fill>
      <patternFill patternType="solid">
        <fgColor rgb="FFFFF2CC"/>
        <bgColor rgb="FFFFFFFF"/>
      </patternFill>
    </fill>
    <fill>
      <patternFill patternType="solid">
        <fgColor rgb="FFE2EFDA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FFFFF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2E75B6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E0E0E0"/>
      </top>
      <bottom style="thin">
        <color rgb="FFE0E0E0"/>
      </bottom>
      <diagonal/>
    </border>
    <border>
      <left/>
      <right style="medium">
        <color indexed="64"/>
      </right>
      <top style="thin">
        <color rgb="FFE0E0E0"/>
      </top>
      <bottom style="thin">
        <color rgb="FFE0E0E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9A84C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E0E0E0"/>
      </top>
      <bottom style="medium">
        <color indexed="64"/>
      </bottom>
      <diagonal/>
    </border>
    <border>
      <left style="medium">
        <color indexed="64"/>
      </left>
      <right style="medium">
        <color rgb="FF375623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indent="1"/>
    </xf>
    <xf numFmtId="0" fontId="5" fillId="3" borderId="0" xfId="1" applyFill="1" applyAlignment="1">
      <alignment horizontal="left" vertical="center"/>
    </xf>
    <xf numFmtId="0" fontId="3" fillId="3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horizontal="left" vertical="center" indent="1"/>
    </xf>
    <xf numFmtId="0" fontId="5" fillId="2" borderId="0" xfId="1" applyFill="1" applyAlignment="1">
      <alignment horizontal="left" vertical="center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7" fillId="0" borderId="1" xfId="0" applyFont="1" applyBorder="1" applyAlignment="1">
      <alignment horizontal="center" vertical="top"/>
    </xf>
    <xf numFmtId="0" fontId="8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 vertical="center" wrapText="1"/>
    </xf>
    <xf numFmtId="0" fontId="0" fillId="4" borderId="0" xfId="0" applyFill="1"/>
    <xf numFmtId="0" fontId="7" fillId="8" borderId="2" xfId="0" applyFont="1" applyFill="1" applyBorder="1" applyAlignment="1">
      <alignment horizontal="center" vertical="top"/>
    </xf>
    <xf numFmtId="0" fontId="7" fillId="7" borderId="2" xfId="0" applyFont="1" applyFill="1" applyBorder="1" applyAlignment="1">
      <alignment horizontal="center" vertical="top"/>
    </xf>
    <xf numFmtId="2" fontId="0" fillId="0" borderId="0" xfId="0" applyNumberFormat="1"/>
    <xf numFmtId="0" fontId="7" fillId="13" borderId="1" xfId="0" applyFont="1" applyFill="1" applyBorder="1" applyAlignment="1">
      <alignment horizontal="center"/>
    </xf>
    <xf numFmtId="0" fontId="0" fillId="14" borderId="1" xfId="0" applyFill="1" applyBorder="1"/>
    <xf numFmtId="0" fontId="0" fillId="15" borderId="1" xfId="0" applyFill="1" applyBorder="1"/>
    <xf numFmtId="2" fontId="0" fillId="0" borderId="1" xfId="0" applyNumberFormat="1" applyBorder="1"/>
    <xf numFmtId="0" fontId="0" fillId="0" borderId="1" xfId="0" applyBorder="1"/>
    <xf numFmtId="0" fontId="7" fillId="0" borderId="1" xfId="0" applyFont="1" applyBorder="1" applyAlignment="1">
      <alignment horizontal="left" vertical="top"/>
    </xf>
    <xf numFmtId="0" fontId="0" fillId="15" borderId="3" xfId="0" applyFill="1" applyBorder="1"/>
    <xf numFmtId="0" fontId="0" fillId="16" borderId="3" xfId="0" applyFill="1" applyBorder="1"/>
    <xf numFmtId="2" fontId="0" fillId="0" borderId="3" xfId="0" applyNumberFormat="1" applyBorder="1"/>
    <xf numFmtId="0" fontId="0" fillId="17" borderId="3" xfId="0" applyFill="1" applyBorder="1"/>
    <xf numFmtId="0" fontId="0" fillId="5" borderId="3" xfId="0" applyFill="1" applyBorder="1"/>
    <xf numFmtId="0" fontId="0" fillId="11" borderId="1" xfId="0" applyFill="1" applyBorder="1"/>
    <xf numFmtId="0" fontId="11" fillId="0" borderId="0" xfId="0" applyFont="1"/>
    <xf numFmtId="0" fontId="7" fillId="0" borderId="4" xfId="0" applyFont="1" applyBorder="1" applyAlignment="1">
      <alignment horizontal="center" vertical="top"/>
    </xf>
    <xf numFmtId="0" fontId="7" fillId="5" borderId="4" xfId="0" applyFont="1" applyFill="1" applyBorder="1" applyAlignment="1">
      <alignment horizontal="center" vertical="top"/>
    </xf>
    <xf numFmtId="2" fontId="7" fillId="0" borderId="4" xfId="0" applyNumberFormat="1" applyFont="1" applyBorder="1" applyAlignment="1">
      <alignment horizontal="center" vertical="top"/>
    </xf>
    <xf numFmtId="2" fontId="7" fillId="10" borderId="4" xfId="0" applyNumberFormat="1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7" fillId="7" borderId="4" xfId="0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center" vertical="top"/>
    </xf>
    <xf numFmtId="0" fontId="0" fillId="9" borderId="4" xfId="0" applyFill="1" applyBorder="1" applyAlignment="1">
      <alignment horizontal="center"/>
    </xf>
    <xf numFmtId="0" fontId="0" fillId="11" borderId="4" xfId="0" applyFill="1" applyBorder="1"/>
    <xf numFmtId="2" fontId="0" fillId="9" borderId="4" xfId="0" applyNumberFormat="1" applyFill="1" applyBorder="1"/>
    <xf numFmtId="0" fontId="0" fillId="9" borderId="4" xfId="0" applyFill="1" applyBorder="1"/>
    <xf numFmtId="0" fontId="0" fillId="0" borderId="4" xfId="0" applyBorder="1"/>
    <xf numFmtId="2" fontId="0" fillId="0" borderId="4" xfId="0" applyNumberFormat="1" applyBorder="1"/>
    <xf numFmtId="0" fontId="0" fillId="8" borderId="4" xfId="0" applyFill="1" applyBorder="1"/>
    <xf numFmtId="0" fontId="7" fillId="10" borderId="4" xfId="0" applyFont="1" applyFill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0" fillId="12" borderId="4" xfId="0" applyFill="1" applyBorder="1"/>
    <xf numFmtId="2" fontId="0" fillId="12" borderId="4" xfId="0" applyNumberFormat="1" applyFill="1" applyBorder="1"/>
    <xf numFmtId="0" fontId="10" fillId="18" borderId="6" xfId="0" applyFont="1" applyFill="1" applyBorder="1" applyAlignment="1">
      <alignment horizontal="left" vertical="center" wrapText="1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4" fillId="21" borderId="10" xfId="0" applyFont="1" applyFill="1" applyBorder="1" applyAlignment="1">
      <alignment horizontal="left" vertical="center"/>
    </xf>
    <xf numFmtId="0" fontId="10" fillId="21" borderId="11" xfId="0" applyFont="1" applyFill="1" applyBorder="1" applyAlignment="1">
      <alignment horizontal="right" vertical="center"/>
    </xf>
    <xf numFmtId="0" fontId="14" fillId="22" borderId="10" xfId="0" applyFont="1" applyFill="1" applyBorder="1" applyAlignment="1">
      <alignment horizontal="left" vertical="center"/>
    </xf>
    <xf numFmtId="0" fontId="10" fillId="22" borderId="11" xfId="0" applyFont="1" applyFill="1" applyBorder="1" applyAlignment="1">
      <alignment horizontal="right" vertical="center"/>
    </xf>
    <xf numFmtId="0" fontId="14" fillId="21" borderId="8" xfId="0" applyFont="1" applyFill="1" applyBorder="1" applyAlignment="1">
      <alignment horizontal="left" vertical="center"/>
    </xf>
    <xf numFmtId="0" fontId="10" fillId="21" borderId="9" xfId="0" applyFont="1" applyFill="1" applyBorder="1" applyAlignment="1">
      <alignment horizontal="right" vertical="center"/>
    </xf>
    <xf numFmtId="0" fontId="14" fillId="21" borderId="12" xfId="0" applyFont="1" applyFill="1" applyBorder="1" applyAlignment="1">
      <alignment horizontal="left" vertical="center"/>
    </xf>
    <xf numFmtId="0" fontId="10" fillId="21" borderId="13" xfId="0" applyFont="1" applyFill="1" applyBorder="1" applyAlignment="1">
      <alignment horizontal="right" vertical="center"/>
    </xf>
    <xf numFmtId="0" fontId="12" fillId="19" borderId="14" xfId="0" applyFont="1" applyFill="1" applyBorder="1" applyAlignment="1">
      <alignment horizontal="left" vertical="center" wrapText="1"/>
    </xf>
    <xf numFmtId="0" fontId="12" fillId="21" borderId="11" xfId="0" applyFont="1" applyFill="1" applyBorder="1" applyAlignment="1">
      <alignment horizontal="right" vertical="center"/>
    </xf>
    <xf numFmtId="0" fontId="12" fillId="22" borderId="11" xfId="0" applyFont="1" applyFill="1" applyBorder="1" applyAlignment="1">
      <alignment horizontal="right" vertical="center"/>
    </xf>
    <xf numFmtId="0" fontId="12" fillId="21" borderId="15" xfId="0" applyFont="1" applyFill="1" applyBorder="1" applyAlignment="1">
      <alignment horizontal="right" vertical="center"/>
    </xf>
    <xf numFmtId="0" fontId="13" fillId="20" borderId="16" xfId="0" applyFont="1" applyFill="1" applyBorder="1" applyAlignment="1">
      <alignment horizontal="left" vertical="center" wrapText="1"/>
    </xf>
    <xf numFmtId="0" fontId="13" fillId="21" borderId="11" xfId="0" applyFont="1" applyFill="1" applyBorder="1" applyAlignment="1">
      <alignment horizontal="right" vertical="center"/>
    </xf>
    <xf numFmtId="0" fontId="13" fillId="22" borderId="11" xfId="0" applyFont="1" applyFill="1" applyBorder="1" applyAlignment="1">
      <alignment horizontal="right" vertical="center"/>
    </xf>
    <xf numFmtId="0" fontId="13" fillId="21" borderId="9" xfId="0" applyFont="1" applyFill="1" applyBorder="1" applyAlignment="1">
      <alignment horizontal="right" vertical="center"/>
    </xf>
    <xf numFmtId="0" fontId="13" fillId="21" borderId="13" xfId="0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Total weighted </a:t>
            </a:r>
            <a:r>
              <a:rPr lang="en-IN" sz="1200" b="1" baseline="0"/>
              <a:t> score</a:t>
            </a:r>
            <a:endParaRPr lang="en-IN" sz="1200" b="1"/>
          </a:p>
        </c:rich>
      </c:tx>
      <c:layout>
        <c:manualLayout>
          <c:xMode val="edge"/>
          <c:yMode val="edge"/>
          <c:x val="0.3333888888888889"/>
          <c:y val="0.8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[1]Tables!$B$1</c:f>
              <c:strCache>
                <c:ptCount val="1"/>
                <c:pt idx="0">
                  <c:v>Con.D</c:v>
                </c:pt>
              </c:strCache>
            </c:strRef>
          </c:tx>
          <c:spPr>
            <a:solidFill>
              <a:srgbClr val="C9A84C"/>
            </a:solidFill>
            <a:ln>
              <a:noFill/>
            </a:ln>
            <a:effectLst/>
          </c:spPr>
          <c:invertIfNegative val="0"/>
          <c:cat>
            <c:strRef>
              <c:f>[1]Tables!$A$2:$A$10</c:f>
              <c:strCache>
                <c:ptCount val="9"/>
                <c:pt idx="0">
                  <c:v>Blue Star</c:v>
                </c:pt>
                <c:pt idx="1">
                  <c:v>Force Motors</c:v>
                </c:pt>
                <c:pt idx="2">
                  <c:v>Kotak Mah. Bank</c:v>
                </c:pt>
                <c:pt idx="3">
                  <c:v>IDBI Bank</c:v>
                </c:pt>
                <c:pt idx="4">
                  <c:v>ICICI Bank</c:v>
                </c:pt>
                <c:pt idx="5">
                  <c:v>Havells India</c:v>
                </c:pt>
                <c:pt idx="6">
                  <c:v>Bajaj Auto</c:v>
                </c:pt>
                <c:pt idx="7">
                  <c:v>Tata Motors</c:v>
                </c:pt>
                <c:pt idx="8">
                  <c:v>Voltas</c:v>
                </c:pt>
              </c:strCache>
            </c:strRef>
          </c:cat>
          <c:val>
            <c:numRef>
              <c:f>[1]Tables!$B$2:$B$10</c:f>
              <c:numCache>
                <c:formatCode>General</c:formatCode>
                <c:ptCount val="9"/>
                <c:pt idx="0">
                  <c:v>77.159192579665245</c:v>
                </c:pt>
                <c:pt idx="5">
                  <c:v>50.649841128628026</c:v>
                </c:pt>
                <c:pt idx="8">
                  <c:v>47.775487161130336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C-47B5-A989-CBE42FA8F66B}"/>
            </c:ext>
          </c:extLst>
        </c:ser>
        <c:ser>
          <c:idx val="1"/>
          <c:order val="1"/>
          <c:tx>
            <c:strRef>
              <c:f>[1]Tables!$C$1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[1]Tables!$A$2:$A$10</c:f>
              <c:strCache>
                <c:ptCount val="9"/>
                <c:pt idx="0">
                  <c:v>Blue Star</c:v>
                </c:pt>
                <c:pt idx="1">
                  <c:v>Force Motors</c:v>
                </c:pt>
                <c:pt idx="2">
                  <c:v>Kotak Mah. Bank</c:v>
                </c:pt>
                <c:pt idx="3">
                  <c:v>IDBI Bank</c:v>
                </c:pt>
                <c:pt idx="4">
                  <c:v>ICICI Bank</c:v>
                </c:pt>
                <c:pt idx="5">
                  <c:v>Havells India</c:v>
                </c:pt>
                <c:pt idx="6">
                  <c:v>Bajaj Auto</c:v>
                </c:pt>
                <c:pt idx="7">
                  <c:v>Tata Motors</c:v>
                </c:pt>
                <c:pt idx="8">
                  <c:v>Voltas</c:v>
                </c:pt>
              </c:strCache>
            </c:strRef>
          </c:cat>
          <c:val>
            <c:numRef>
              <c:f>[1]Tables!$C$2:$C$10</c:f>
              <c:numCache>
                <c:formatCode>General</c:formatCode>
                <c:ptCount val="9"/>
                <c:pt idx="2">
                  <c:v>65.45</c:v>
                </c:pt>
                <c:pt idx="3">
                  <c:v>54.22</c:v>
                </c:pt>
                <c:pt idx="4">
                  <c:v>53.59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C-47B5-A989-CBE42FA8F66B}"/>
            </c:ext>
          </c:extLst>
        </c:ser>
        <c:ser>
          <c:idx val="2"/>
          <c:order val="2"/>
          <c:tx>
            <c:strRef>
              <c:f>[1]Tables!$D$1</c:f>
              <c:strCache>
                <c:ptCount val="1"/>
                <c:pt idx="0">
                  <c:v>Auto.M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[1]Tables!$A$2:$A$10</c:f>
              <c:strCache>
                <c:ptCount val="9"/>
                <c:pt idx="0">
                  <c:v>Blue Star</c:v>
                </c:pt>
                <c:pt idx="1">
                  <c:v>Force Motors</c:v>
                </c:pt>
                <c:pt idx="2">
                  <c:v>Kotak Mah. Bank</c:v>
                </c:pt>
                <c:pt idx="3">
                  <c:v>IDBI Bank</c:v>
                </c:pt>
                <c:pt idx="4">
                  <c:v>ICICI Bank</c:v>
                </c:pt>
                <c:pt idx="5">
                  <c:v>Havells India</c:v>
                </c:pt>
                <c:pt idx="6">
                  <c:v>Bajaj Auto</c:v>
                </c:pt>
                <c:pt idx="7">
                  <c:v>Tata Motors</c:v>
                </c:pt>
                <c:pt idx="8">
                  <c:v>Voltas</c:v>
                </c:pt>
              </c:strCache>
            </c:strRef>
          </c:cat>
          <c:val>
            <c:numRef>
              <c:f>[1]Tables!$D$2:$D$10</c:f>
              <c:numCache>
                <c:formatCode>General</c:formatCode>
                <c:ptCount val="9"/>
                <c:pt idx="1">
                  <c:v>69.381759022537338</c:v>
                </c:pt>
                <c:pt idx="6">
                  <c:v>49.619640323355974</c:v>
                </c:pt>
                <c:pt idx="7">
                  <c:v>48.215869155547821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AC-47B5-A989-CBE42FA8F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49"/>
        <c:axId val="1575105263"/>
        <c:axId val="1575104303"/>
      </c:barChart>
      <c:catAx>
        <c:axId val="157510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04303"/>
        <c:crosses val="autoZero"/>
        <c:auto val="1"/>
        <c:lblAlgn val="ctr"/>
        <c:lblOffset val="100"/>
        <c:noMultiLvlLbl val="0"/>
      </c:catAx>
      <c:valAx>
        <c:axId val="1575104303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10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444881889763707E-3"/>
          <c:y val="4.2244823563721161E-2"/>
          <c:w val="0.3615330271216097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 i="0" u="none" strike="noStrike" baseline="0">
                <a:latin typeface="+mn-lt"/>
              </a:rPr>
              <a:t>ROE vs ROCE</a:t>
            </a:r>
            <a:r>
              <a:rPr lang="en-IN" sz="1100" b="1" i="0">
                <a:latin typeface="+mn-lt"/>
              </a:rPr>
              <a:t> </a:t>
            </a:r>
          </a:p>
        </c:rich>
      </c:tx>
      <c:layout>
        <c:manualLayout>
          <c:xMode val="edge"/>
          <c:yMode val="edge"/>
          <c:x val="0.43834771886559803"/>
          <c:y val="0.88425925925925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[1]Tables!$G$1</c:f>
              <c:strCache>
                <c:ptCount val="1"/>
                <c:pt idx="0">
                  <c:v>ROE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[1]Tables!$F$2:$F$10</c:f>
              <c:strCache>
                <c:ptCount val="9"/>
                <c:pt idx="0">
                  <c:v>Blue Star</c:v>
                </c:pt>
                <c:pt idx="1">
                  <c:v>Force Motors</c:v>
                </c:pt>
                <c:pt idx="2">
                  <c:v>Kotak Mah. Bank</c:v>
                </c:pt>
                <c:pt idx="3">
                  <c:v>IDBI Bank</c:v>
                </c:pt>
                <c:pt idx="4">
                  <c:v>ICICI Bank</c:v>
                </c:pt>
                <c:pt idx="5">
                  <c:v>Havells India</c:v>
                </c:pt>
                <c:pt idx="6">
                  <c:v>Bajaj Auto</c:v>
                </c:pt>
                <c:pt idx="7">
                  <c:v>Tata Motors</c:v>
                </c:pt>
                <c:pt idx="8">
                  <c:v>Voltas</c:v>
                </c:pt>
              </c:strCache>
            </c:strRef>
          </c:cat>
          <c:val>
            <c:numRef>
              <c:f>[1]Tables!$G$2:$G$10</c:f>
              <c:numCache>
                <c:formatCode>General</c:formatCode>
                <c:ptCount val="9"/>
                <c:pt idx="0">
                  <c:v>20.62</c:v>
                </c:pt>
                <c:pt idx="1">
                  <c:v>4.5506265457543291</c:v>
                </c:pt>
                <c:pt idx="2">
                  <c:v>15.37</c:v>
                </c:pt>
                <c:pt idx="3">
                  <c:v>13.55</c:v>
                </c:pt>
                <c:pt idx="4">
                  <c:v>17.97</c:v>
                </c:pt>
                <c:pt idx="5">
                  <c:v>11.180757709251099</c:v>
                </c:pt>
                <c:pt idx="6">
                  <c:v>22.77</c:v>
                </c:pt>
                <c:pt idx="7">
                  <c:v>28.08</c:v>
                </c:pt>
                <c:pt idx="8">
                  <c:v>13.35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F-40B7-8907-487FB6DE2D98}"/>
            </c:ext>
          </c:extLst>
        </c:ser>
        <c:ser>
          <c:idx val="1"/>
          <c:order val="1"/>
          <c:tx>
            <c:strRef>
              <c:f>[1]Tables!$H$1</c:f>
              <c:strCache>
                <c:ptCount val="1"/>
                <c:pt idx="0">
                  <c:v>ROCE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[1]Tables!$F$2:$F$10</c:f>
              <c:strCache>
                <c:ptCount val="9"/>
                <c:pt idx="0">
                  <c:v>Blue Star</c:v>
                </c:pt>
                <c:pt idx="1">
                  <c:v>Force Motors</c:v>
                </c:pt>
                <c:pt idx="2">
                  <c:v>Kotak Mah. Bank</c:v>
                </c:pt>
                <c:pt idx="3">
                  <c:v>IDBI Bank</c:v>
                </c:pt>
                <c:pt idx="4">
                  <c:v>ICICI Bank</c:v>
                </c:pt>
                <c:pt idx="5">
                  <c:v>Havells India</c:v>
                </c:pt>
                <c:pt idx="6">
                  <c:v>Bajaj Auto</c:v>
                </c:pt>
                <c:pt idx="7">
                  <c:v>Tata Motors</c:v>
                </c:pt>
                <c:pt idx="8">
                  <c:v>Voltas</c:v>
                </c:pt>
              </c:strCache>
            </c:strRef>
          </c:cat>
          <c:val>
            <c:numRef>
              <c:f>[1]Tables!$H$2:$H$10</c:f>
              <c:numCache>
                <c:formatCode>General</c:formatCode>
                <c:ptCount val="9"/>
                <c:pt idx="0">
                  <c:v>26.2</c:v>
                </c:pt>
                <c:pt idx="1">
                  <c:v>29.8</c:v>
                </c:pt>
                <c:pt idx="2">
                  <c:v>8.17</c:v>
                </c:pt>
                <c:pt idx="3">
                  <c:v>6.78</c:v>
                </c:pt>
                <c:pt idx="4">
                  <c:v>7.88</c:v>
                </c:pt>
                <c:pt idx="5">
                  <c:v>25.32</c:v>
                </c:pt>
                <c:pt idx="6">
                  <c:v>22.77</c:v>
                </c:pt>
                <c:pt idx="7">
                  <c:v>19.97</c:v>
                </c:pt>
                <c:pt idx="8">
                  <c:v>17.64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FF-40B7-8907-487FB6DE2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9129023"/>
        <c:axId val="1489134303"/>
      </c:barChart>
      <c:catAx>
        <c:axId val="14891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134303"/>
        <c:crosses val="autoZero"/>
        <c:auto val="1"/>
        <c:lblAlgn val="ctr"/>
        <c:lblOffset val="100"/>
        <c:noMultiLvlLbl val="0"/>
      </c:catAx>
      <c:valAx>
        <c:axId val="148913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12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68897637795276"/>
          <c:y val="3.2985564304461944E-2"/>
          <c:w val="0.1629195025097818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Growth Momentum </a:t>
            </a:r>
          </a:p>
        </c:rich>
      </c:tx>
      <c:layout>
        <c:manualLayout>
          <c:xMode val="edge"/>
          <c:yMode val="edge"/>
          <c:x val="0.30552777777777779"/>
          <c:y val="0.896505291677250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[1]Tables!$G$12</c:f>
              <c:strCache>
                <c:ptCount val="1"/>
                <c:pt idx="0">
                  <c:v>3Y Return %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[1]Tables!$F$13:$F$21</c:f>
              <c:strCache>
                <c:ptCount val="9"/>
                <c:pt idx="0">
                  <c:v>Blue Star</c:v>
                </c:pt>
                <c:pt idx="1">
                  <c:v>Havells India</c:v>
                </c:pt>
                <c:pt idx="2">
                  <c:v>Voltas</c:v>
                </c:pt>
                <c:pt idx="3">
                  <c:v>Kotak Mah. Bank</c:v>
                </c:pt>
                <c:pt idx="4">
                  <c:v>ICICI Bank</c:v>
                </c:pt>
                <c:pt idx="5">
                  <c:v>IDBI Bank</c:v>
                </c:pt>
                <c:pt idx="6">
                  <c:v>Force Motors</c:v>
                </c:pt>
                <c:pt idx="7">
                  <c:v>Tata Motors</c:v>
                </c:pt>
                <c:pt idx="8">
                  <c:v>Bajaj Auto</c:v>
                </c:pt>
              </c:strCache>
            </c:strRef>
          </c:cat>
          <c:val>
            <c:numRef>
              <c:f>[1]Tables!$G$13:$G$21</c:f>
              <c:numCache>
                <c:formatCode>General</c:formatCode>
                <c:ptCount val="9"/>
                <c:pt idx="0">
                  <c:v>52.42</c:v>
                </c:pt>
                <c:pt idx="1">
                  <c:v>8.17</c:v>
                </c:pt>
                <c:pt idx="2">
                  <c:v>10.37</c:v>
                </c:pt>
                <c:pt idx="3">
                  <c:v>6.06</c:v>
                </c:pt>
                <c:pt idx="4">
                  <c:v>22.81</c:v>
                </c:pt>
                <c:pt idx="5">
                  <c:v>40.08</c:v>
                </c:pt>
                <c:pt idx="6">
                  <c:v>163.27000000000001</c:v>
                </c:pt>
                <c:pt idx="7">
                  <c:v>15.93</c:v>
                </c:pt>
                <c:pt idx="8">
                  <c:v>27.26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7-4C0A-A6E9-C6595F5FC54A}"/>
            </c:ext>
          </c:extLst>
        </c:ser>
        <c:ser>
          <c:idx val="1"/>
          <c:order val="1"/>
          <c:tx>
            <c:strRef>
              <c:f>[1]Tables!$H$12</c:f>
              <c:strCache>
                <c:ptCount val="1"/>
                <c:pt idx="0">
                  <c:v>Profit Gr 3Y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[1]Tables!$F$13:$F$21</c:f>
              <c:strCache>
                <c:ptCount val="9"/>
                <c:pt idx="0">
                  <c:v>Blue Star</c:v>
                </c:pt>
                <c:pt idx="1">
                  <c:v>Havells India</c:v>
                </c:pt>
                <c:pt idx="2">
                  <c:v>Voltas</c:v>
                </c:pt>
                <c:pt idx="3">
                  <c:v>Kotak Mah. Bank</c:v>
                </c:pt>
                <c:pt idx="4">
                  <c:v>ICICI Bank</c:v>
                </c:pt>
                <c:pt idx="5">
                  <c:v>IDBI Bank</c:v>
                </c:pt>
                <c:pt idx="6">
                  <c:v>Force Motors</c:v>
                </c:pt>
                <c:pt idx="7">
                  <c:v>Tata Motors</c:v>
                </c:pt>
                <c:pt idx="8">
                  <c:v>Bajaj Auto</c:v>
                </c:pt>
              </c:strCache>
            </c:strRef>
          </c:cat>
          <c:val>
            <c:numRef>
              <c:f>[1]Tables!$H$13:$H$21</c:f>
              <c:numCache>
                <c:formatCode>General</c:formatCode>
                <c:ptCount val="9"/>
                <c:pt idx="0">
                  <c:v>52.09</c:v>
                </c:pt>
                <c:pt idx="1">
                  <c:v>7.37</c:v>
                </c:pt>
                <c:pt idx="2">
                  <c:v>17.71</c:v>
                </c:pt>
                <c:pt idx="3">
                  <c:v>22.32</c:v>
                </c:pt>
                <c:pt idx="4">
                  <c:v>26.67</c:v>
                </c:pt>
                <c:pt idx="5">
                  <c:v>44.43</c:v>
                </c:pt>
                <c:pt idx="6">
                  <c:v>99.69</c:v>
                </c:pt>
                <c:pt idx="7">
                  <c:v>65.489999999999995</c:v>
                </c:pt>
                <c:pt idx="8">
                  <c:v>10.38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7-4C0A-A6E9-C6595F5F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713055"/>
        <c:axId val="2004713535"/>
      </c:barChart>
      <c:catAx>
        <c:axId val="200471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13535"/>
        <c:crosses val="autoZero"/>
        <c:auto val="1"/>
        <c:lblAlgn val="ctr"/>
        <c:lblOffset val="100"/>
        <c:noMultiLvlLbl val="0"/>
      </c:catAx>
      <c:valAx>
        <c:axId val="20047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1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663385826771674E-2"/>
          <c:y val="6.5392971711869308E-2"/>
          <c:w val="0.3480867732442535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D/E ratio- Leverage &amp; Risk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[1]Tables!$B$12</c:f>
              <c:strCache>
                <c:ptCount val="1"/>
                <c:pt idx="0">
                  <c:v>Con.D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[1]Tables!$A$13:$A$21</c:f>
              <c:strCache>
                <c:ptCount val="9"/>
                <c:pt idx="0">
                  <c:v>Blue Star</c:v>
                </c:pt>
                <c:pt idx="1">
                  <c:v>Havells India</c:v>
                </c:pt>
                <c:pt idx="2">
                  <c:v>Voltas</c:v>
                </c:pt>
                <c:pt idx="3">
                  <c:v>Kotak Mah. Bank</c:v>
                </c:pt>
                <c:pt idx="4">
                  <c:v>ICICI Bank</c:v>
                </c:pt>
                <c:pt idx="5">
                  <c:v>IDBI Bank</c:v>
                </c:pt>
                <c:pt idx="6">
                  <c:v>Force Motors</c:v>
                </c:pt>
                <c:pt idx="7">
                  <c:v>Tata Motors</c:v>
                </c:pt>
                <c:pt idx="8">
                  <c:v>Bajaj Auto</c:v>
                </c:pt>
              </c:strCache>
            </c:strRef>
          </c:cat>
          <c:val>
            <c:numRef>
              <c:f>[1]Tables!$B$13:$B$21</c:f>
              <c:numCache>
                <c:formatCode>General</c:formatCode>
                <c:ptCount val="9"/>
                <c:pt idx="0">
                  <c:v>0.12</c:v>
                </c:pt>
                <c:pt idx="1">
                  <c:v>0.04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2-4D50-9B36-65C24531166B}"/>
            </c:ext>
          </c:extLst>
        </c:ser>
        <c:ser>
          <c:idx val="1"/>
          <c:order val="1"/>
          <c:tx>
            <c:strRef>
              <c:f>[1]Tables!$C$12</c:f>
              <c:strCache>
                <c:ptCount val="1"/>
                <c:pt idx="0">
                  <c:v>Banking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[1]Tables!$A$13:$A$21</c:f>
              <c:strCache>
                <c:ptCount val="9"/>
                <c:pt idx="0">
                  <c:v>Blue Star</c:v>
                </c:pt>
                <c:pt idx="1">
                  <c:v>Havells India</c:v>
                </c:pt>
                <c:pt idx="2">
                  <c:v>Voltas</c:v>
                </c:pt>
                <c:pt idx="3">
                  <c:v>Kotak Mah. Bank</c:v>
                </c:pt>
                <c:pt idx="4">
                  <c:v>ICICI Bank</c:v>
                </c:pt>
                <c:pt idx="5">
                  <c:v>IDBI Bank</c:v>
                </c:pt>
                <c:pt idx="6">
                  <c:v>Force Motors</c:v>
                </c:pt>
                <c:pt idx="7">
                  <c:v>Tata Motors</c:v>
                </c:pt>
                <c:pt idx="8">
                  <c:v>Bajaj Auto</c:v>
                </c:pt>
              </c:strCache>
            </c:strRef>
          </c:cat>
          <c:val>
            <c:numRef>
              <c:f>[1]Tables!$C$13:$C$21</c:f>
              <c:numCache>
                <c:formatCode>General</c:formatCode>
                <c:ptCount val="9"/>
                <c:pt idx="3">
                  <c:v>3.76</c:v>
                </c:pt>
                <c:pt idx="4">
                  <c:v>5.97</c:v>
                </c:pt>
                <c:pt idx="5">
                  <c:v>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2-4D50-9B36-65C24531166B}"/>
            </c:ext>
          </c:extLst>
        </c:ser>
        <c:ser>
          <c:idx val="2"/>
          <c:order val="2"/>
          <c:tx>
            <c:strRef>
              <c:f>[1]Tables!$D$12</c:f>
              <c:strCache>
                <c:ptCount val="1"/>
                <c:pt idx="0">
                  <c:v>Auto.M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[1]Tables!$A$13:$A$21</c:f>
              <c:strCache>
                <c:ptCount val="9"/>
                <c:pt idx="0">
                  <c:v>Blue Star</c:v>
                </c:pt>
                <c:pt idx="1">
                  <c:v>Havells India</c:v>
                </c:pt>
                <c:pt idx="2">
                  <c:v>Voltas</c:v>
                </c:pt>
                <c:pt idx="3">
                  <c:v>Kotak Mah. Bank</c:v>
                </c:pt>
                <c:pt idx="4">
                  <c:v>ICICI Bank</c:v>
                </c:pt>
                <c:pt idx="5">
                  <c:v>IDBI Bank</c:v>
                </c:pt>
                <c:pt idx="6">
                  <c:v>Force Motors</c:v>
                </c:pt>
                <c:pt idx="7">
                  <c:v>Tata Motors</c:v>
                </c:pt>
                <c:pt idx="8">
                  <c:v>Bajaj Auto</c:v>
                </c:pt>
              </c:strCache>
            </c:strRef>
          </c:cat>
          <c:val>
            <c:numRef>
              <c:f>[1]Tables!$D$13:$D$21</c:f>
              <c:numCache>
                <c:formatCode>General</c:formatCode>
                <c:ptCount val="9"/>
                <c:pt idx="6">
                  <c:v>0.01</c:v>
                </c:pt>
                <c:pt idx="7">
                  <c:v>0.62</c:v>
                </c:pt>
                <c:pt idx="8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2-4D50-9B36-65C245311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741375"/>
        <c:axId val="2004742335"/>
      </c:barChart>
      <c:catAx>
        <c:axId val="200474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42335"/>
        <c:crosses val="autoZero"/>
        <c:auto val="1"/>
        <c:lblAlgn val="ctr"/>
        <c:lblOffset val="100"/>
        <c:noMultiLvlLbl val="0"/>
      </c:catAx>
      <c:valAx>
        <c:axId val="200474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4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IN" sz="1200" b="1"/>
              <a:t>Sector average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[1]Tables!$K$3</c:f>
              <c:strCache>
                <c:ptCount val="1"/>
                <c:pt idx="0">
                  <c:v>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[1]Tables!$J$4:$J$6</c:f>
              <c:strCache>
                <c:ptCount val="3"/>
                <c:pt idx="0">
                  <c:v>Con.D</c:v>
                </c:pt>
                <c:pt idx="1">
                  <c:v>Banking</c:v>
                </c:pt>
                <c:pt idx="2">
                  <c:v>Auto. M</c:v>
                </c:pt>
              </c:strCache>
            </c:strRef>
          </c:cat>
          <c:val>
            <c:numRef>
              <c:f>[1]Tables!$K$4:$K$6</c:f>
              <c:numCache>
                <c:formatCode>General</c:formatCode>
                <c:ptCount val="3"/>
                <c:pt idx="0">
                  <c:v>49.367830190540914</c:v>
                </c:pt>
                <c:pt idx="1">
                  <c:v>46.725760360591394</c:v>
                </c:pt>
                <c:pt idx="2">
                  <c:v>43.944046086609504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6-4E4B-B063-0C99462F3244}"/>
            </c:ext>
          </c:extLst>
        </c:ser>
        <c:ser>
          <c:idx val="1"/>
          <c:order val="1"/>
          <c:tx>
            <c:strRef>
              <c:f>[1]Tables!$L$3</c:f>
              <c:strCache>
                <c:ptCount val="1"/>
                <c:pt idx="0">
                  <c:v>highest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  <a:alpha val="73000"/>
              </a:schemeClr>
            </a:solidFill>
            <a:ln>
              <a:noFill/>
            </a:ln>
            <a:effectLst/>
          </c:spPr>
          <c:invertIfNegative val="0"/>
          <c:cat>
            <c:strRef>
              <c:f>[1]Tables!$J$4:$J$6</c:f>
              <c:strCache>
                <c:ptCount val="3"/>
                <c:pt idx="0">
                  <c:v>Con.D</c:v>
                </c:pt>
                <c:pt idx="1">
                  <c:v>Banking</c:v>
                </c:pt>
                <c:pt idx="2">
                  <c:v>Auto. M</c:v>
                </c:pt>
              </c:strCache>
            </c:strRef>
          </c:cat>
          <c:val>
            <c:numRef>
              <c:f>[1]Tables!$L$4:$L$6</c:f>
              <c:numCache>
                <c:formatCode>General</c:formatCode>
                <c:ptCount val="3"/>
                <c:pt idx="0">
                  <c:v>77.159192579665245</c:v>
                </c:pt>
                <c:pt idx="1">
                  <c:v>65.441784252073035</c:v>
                </c:pt>
                <c:pt idx="2">
                  <c:v>49.619640323355974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86-4E4B-B063-0C99462F3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4738015"/>
        <c:axId val="2004738495"/>
      </c:barChart>
      <c:catAx>
        <c:axId val="200473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38495"/>
        <c:crosses val="autoZero"/>
        <c:auto val="1"/>
        <c:lblAlgn val="ctr"/>
        <c:lblOffset val="100"/>
        <c:noMultiLvlLbl val="0"/>
      </c:catAx>
      <c:valAx>
        <c:axId val="200473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542146</xdr:colOff>
      <xdr:row>3</xdr:row>
      <xdr:rowOff>56431</xdr:rowOff>
    </xdr:from>
    <xdr:to>
      <xdr:col>8</xdr:col>
      <xdr:colOff>235908</xdr:colOff>
      <xdr:row>18</xdr:row>
      <xdr:rowOff>37381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E718B-75E9-4085-829B-2E3DD8B0D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478646</xdr:colOff>
      <xdr:row>3</xdr:row>
      <xdr:rowOff>43731</xdr:rowOff>
    </xdr:from>
    <xdr:to>
      <xdr:col>17</xdr:col>
      <xdr:colOff>140658</xdr:colOff>
      <xdr:row>18</xdr:row>
      <xdr:rowOff>24681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A0DA4D-493B-43CE-B5CE-EE9AE1872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535796</xdr:colOff>
      <xdr:row>19</xdr:row>
      <xdr:rowOff>11981</xdr:rowOff>
    </xdr:from>
    <xdr:to>
      <xdr:col>8</xdr:col>
      <xdr:colOff>229558</xdr:colOff>
      <xdr:row>35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7E11B4-FFD2-4A19-8120-A33E14760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472296</xdr:colOff>
      <xdr:row>19</xdr:row>
      <xdr:rowOff>11981</xdr:rowOff>
    </xdr:from>
    <xdr:to>
      <xdr:col>17</xdr:col>
      <xdr:colOff>140658</xdr:colOff>
      <xdr:row>35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BF0C26-9662-4850-BED6-F2A09FDC5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263585</xdr:colOff>
      <xdr:row>1</xdr:row>
      <xdr:rowOff>83868</xdr:rowOff>
    </xdr:from>
    <xdr:to>
      <xdr:col>17</xdr:col>
      <xdr:colOff>467264</xdr:colOff>
      <xdr:row>36</xdr:row>
      <xdr:rowOff>167736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62AE2734-4D07-45F2-858C-25214DCDA5DF}"/>
            </a:ext>
          </a:extLst>
        </xdr:cNvPr>
        <xdr:cNvSpPr/>
      </xdr:nvSpPr>
      <xdr:spPr>
        <a:xfrm>
          <a:off x="263585" y="268018"/>
          <a:ext cx="10566879" cy="65418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611037</xdr:colOff>
      <xdr:row>16</xdr:row>
      <xdr:rowOff>0</xdr:rowOff>
    </xdr:from>
    <xdr:to>
      <xdr:col>27</xdr:col>
      <xdr:colOff>215659</xdr:colOff>
      <xdr:row>36</xdr:row>
      <xdr:rowOff>131792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9C8AB6-D286-43A6-A981-99F1C87B60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rmitee\Downloads\Data_Dashboard.xlsx" TargetMode="External"/><Relationship Id="rId1" Type="http://schemas.openxmlformats.org/officeDocument/2006/relationships/externalLinkPath" Target="file:///C:\Users\Nirmitee\Downloads\Data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Tables"/>
      <sheetName val="Con. D"/>
      <sheetName val="Banking"/>
      <sheetName val="Auto. M"/>
      <sheetName val="data"/>
      <sheetName val="Data2"/>
    </sheetNames>
    <sheetDataSet>
      <sheetData sheetId="0"/>
      <sheetData sheetId="1">
        <row r="1">
          <cell r="B1" t="str">
            <v>Con.D</v>
          </cell>
          <cell r="C1" t="str">
            <v>Banking</v>
          </cell>
          <cell r="D1" t="str">
            <v>Auto.M</v>
          </cell>
          <cell r="G1" t="str">
            <v>ROE %</v>
          </cell>
          <cell r="H1" t="str">
            <v>ROCE %</v>
          </cell>
        </row>
        <row r="2">
          <cell r="A2" t="str">
            <v>Blue Star</v>
          </cell>
          <cell r="B2">
            <v>77.159192579665245</v>
          </cell>
          <cell r="C2"/>
          <cell r="D2"/>
          <cell r="F2" t="str">
            <v>Blue Star</v>
          </cell>
          <cell r="G2">
            <v>20.62</v>
          </cell>
          <cell r="H2">
            <v>26.2</v>
          </cell>
        </row>
        <row r="3">
          <cell r="A3" t="str">
            <v>Force Motors</v>
          </cell>
          <cell r="B3"/>
          <cell r="C3"/>
          <cell r="D3">
            <v>69.381759022537338</v>
          </cell>
          <cell r="F3" t="str">
            <v>Force Motors</v>
          </cell>
          <cell r="G3">
            <v>4.5506265457543291</v>
          </cell>
          <cell r="H3">
            <v>29.8</v>
          </cell>
          <cell r="K3" t="str">
            <v>Avg</v>
          </cell>
          <cell r="L3" t="str">
            <v>highest</v>
          </cell>
        </row>
        <row r="4">
          <cell r="A4" t="str">
            <v>Kotak Mah. Bank</v>
          </cell>
          <cell r="B4"/>
          <cell r="C4">
            <v>65.45</v>
          </cell>
          <cell r="D4"/>
          <cell r="F4" t="str">
            <v>Kotak Mah. Bank</v>
          </cell>
          <cell r="G4">
            <v>15.37</v>
          </cell>
          <cell r="H4">
            <v>8.17</v>
          </cell>
          <cell r="J4" t="str">
            <v>Con.D</v>
          </cell>
          <cell r="K4">
            <v>49.367830190540914</v>
          </cell>
          <cell r="L4">
            <v>77.159192579665245</v>
          </cell>
        </row>
        <row r="5">
          <cell r="A5" t="str">
            <v>IDBI Bank</v>
          </cell>
          <cell r="B5"/>
          <cell r="C5">
            <v>54.22</v>
          </cell>
          <cell r="D5"/>
          <cell r="F5" t="str">
            <v>IDBI Bank</v>
          </cell>
          <cell r="G5">
            <v>13.55</v>
          </cell>
          <cell r="H5">
            <v>6.78</v>
          </cell>
          <cell r="J5" t="str">
            <v>Banking</v>
          </cell>
          <cell r="K5">
            <v>46.725760360591394</v>
          </cell>
          <cell r="L5">
            <v>65.441784252073035</v>
          </cell>
        </row>
        <row r="6">
          <cell r="A6" t="str">
            <v>ICICI Bank</v>
          </cell>
          <cell r="B6"/>
          <cell r="C6">
            <v>53.59</v>
          </cell>
          <cell r="D6"/>
          <cell r="F6" t="str">
            <v>ICICI Bank</v>
          </cell>
          <cell r="G6">
            <v>17.97</v>
          </cell>
          <cell r="H6">
            <v>7.88</v>
          </cell>
          <cell r="J6" t="str">
            <v>Auto. M</v>
          </cell>
          <cell r="K6">
            <v>43.944046086609504</v>
          </cell>
          <cell r="L6">
            <v>49.619640323355974</v>
          </cell>
        </row>
        <row r="7">
          <cell r="A7" t="str">
            <v>Havells India</v>
          </cell>
          <cell r="B7">
            <v>50.649841128628026</v>
          </cell>
          <cell r="C7"/>
          <cell r="D7"/>
          <cell r="F7" t="str">
            <v>Havells India</v>
          </cell>
          <cell r="G7">
            <v>11.180757709251099</v>
          </cell>
          <cell r="H7">
            <v>25.32</v>
          </cell>
        </row>
        <row r="8">
          <cell r="A8" t="str">
            <v>Bajaj Auto</v>
          </cell>
          <cell r="B8"/>
          <cell r="C8"/>
          <cell r="D8">
            <v>49.619640323355974</v>
          </cell>
          <cell r="F8" t="str">
            <v>Bajaj Auto</v>
          </cell>
          <cell r="G8">
            <v>22.77</v>
          </cell>
          <cell r="H8">
            <v>22.77</v>
          </cell>
        </row>
        <row r="9">
          <cell r="A9" t="str">
            <v>Tata Motors</v>
          </cell>
          <cell r="B9"/>
          <cell r="C9"/>
          <cell r="D9">
            <v>48.215869155547821</v>
          </cell>
          <cell r="F9" t="str">
            <v>Tata Motors</v>
          </cell>
          <cell r="G9">
            <v>28.08</v>
          </cell>
          <cell r="H9">
            <v>19.97</v>
          </cell>
        </row>
        <row r="10">
          <cell r="A10" t="str">
            <v>Voltas</v>
          </cell>
          <cell r="B10">
            <v>47.775487161130336</v>
          </cell>
          <cell r="C10"/>
          <cell r="D10"/>
          <cell r="F10" t="str">
            <v>Voltas</v>
          </cell>
          <cell r="G10">
            <v>13.35</v>
          </cell>
          <cell r="H10">
            <v>17.64</v>
          </cell>
        </row>
        <row r="12">
          <cell r="B12" t="str">
            <v>Con.D</v>
          </cell>
          <cell r="C12" t="str">
            <v>Banking</v>
          </cell>
          <cell r="D12" t="str">
            <v>Auto.M</v>
          </cell>
          <cell r="G12" t="str">
            <v>3Y Return %</v>
          </cell>
          <cell r="H12" t="str">
            <v>Profit Gr 3Y %</v>
          </cell>
        </row>
        <row r="13">
          <cell r="A13" t="str">
            <v>Blue Star</v>
          </cell>
          <cell r="B13">
            <v>0.12</v>
          </cell>
          <cell r="C13"/>
          <cell r="D13"/>
          <cell r="F13" t="str">
            <v>Blue Star</v>
          </cell>
          <cell r="G13">
            <v>52.42</v>
          </cell>
          <cell r="H13">
            <v>52.09</v>
          </cell>
        </row>
        <row r="14">
          <cell r="A14" t="str">
            <v>Havells India</v>
          </cell>
          <cell r="B14">
            <v>0.04</v>
          </cell>
          <cell r="C14"/>
          <cell r="D14"/>
          <cell r="F14" t="str">
            <v>Havells India</v>
          </cell>
          <cell r="G14">
            <v>8.17</v>
          </cell>
          <cell r="H14">
            <v>7.37</v>
          </cell>
        </row>
        <row r="15">
          <cell r="A15" t="str">
            <v>Voltas</v>
          </cell>
          <cell r="B15">
            <v>0.14000000000000001</v>
          </cell>
          <cell r="C15"/>
          <cell r="D15"/>
          <cell r="F15" t="str">
            <v>Voltas</v>
          </cell>
          <cell r="G15">
            <v>10.37</v>
          </cell>
          <cell r="H15">
            <v>17.71</v>
          </cell>
        </row>
        <row r="16">
          <cell r="A16" t="str">
            <v>Kotak Mah. Bank</v>
          </cell>
          <cell r="B16"/>
          <cell r="C16">
            <v>3.76</v>
          </cell>
          <cell r="D16"/>
          <cell r="F16" t="str">
            <v>Kotak Mah. Bank</v>
          </cell>
          <cell r="G16">
            <v>6.06</v>
          </cell>
          <cell r="H16">
            <v>22.32</v>
          </cell>
        </row>
        <row r="17">
          <cell r="A17" t="str">
            <v>ICICI Bank</v>
          </cell>
          <cell r="B17"/>
          <cell r="C17">
            <v>5.97</v>
          </cell>
          <cell r="D17"/>
          <cell r="F17" t="str">
            <v>ICICI Bank</v>
          </cell>
          <cell r="G17">
            <v>22.81</v>
          </cell>
          <cell r="H17">
            <v>26.67</v>
          </cell>
        </row>
        <row r="18">
          <cell r="A18" t="str">
            <v>IDBI Bank</v>
          </cell>
          <cell r="B18"/>
          <cell r="C18">
            <v>5.35</v>
          </cell>
          <cell r="D18"/>
          <cell r="F18" t="str">
            <v>IDBI Bank</v>
          </cell>
          <cell r="G18">
            <v>40.08</v>
          </cell>
          <cell r="H18">
            <v>44.43</v>
          </cell>
        </row>
        <row r="19">
          <cell r="A19" t="str">
            <v>Force Motors</v>
          </cell>
          <cell r="B19"/>
          <cell r="C19"/>
          <cell r="D19">
            <v>0.01</v>
          </cell>
          <cell r="F19" t="str">
            <v>Force Motors</v>
          </cell>
          <cell r="G19">
            <v>163.27000000000001</v>
          </cell>
          <cell r="H19">
            <v>99.69</v>
          </cell>
        </row>
        <row r="20">
          <cell r="A20" t="str">
            <v>Tata Motors</v>
          </cell>
          <cell r="B20"/>
          <cell r="C20"/>
          <cell r="D20">
            <v>0.62</v>
          </cell>
          <cell r="F20" t="str">
            <v>Tata Motors</v>
          </cell>
          <cell r="G20">
            <v>15.93</v>
          </cell>
          <cell r="H20">
            <v>65.489999999999995</v>
          </cell>
        </row>
        <row r="21">
          <cell r="A21" t="str">
            <v>Bajaj Auto</v>
          </cell>
          <cell r="B21"/>
          <cell r="C21"/>
          <cell r="D21">
            <v>0.27</v>
          </cell>
          <cell r="F21" t="str">
            <v>Bajaj Auto</v>
          </cell>
          <cell r="G21">
            <v>27.26</v>
          </cell>
          <cell r="H21">
            <v>10.38</v>
          </cell>
        </row>
      </sheetData>
      <sheetData sheetId="2">
        <row r="1">
          <cell r="A1" t="str">
            <v>Stocks</v>
          </cell>
          <cell r="B1" t="str">
            <v>ROE ratio</v>
          </cell>
          <cell r="C1" t="str">
            <v>Weightage</v>
          </cell>
          <cell r="D1" t="str">
            <v>ROCE (%)</v>
          </cell>
          <cell r="E1" t="str">
            <v>Weightage</v>
          </cell>
          <cell r="F1" t="str">
            <v>EPS</v>
          </cell>
          <cell r="G1" t="str">
            <v>Weightage</v>
          </cell>
          <cell r="H1" t="str">
            <v>P/E Ratio</v>
          </cell>
          <cell r="I1" t="str">
            <v>Weightage</v>
          </cell>
          <cell r="J1" t="str">
            <v>Debt to Equity</v>
          </cell>
          <cell r="K1" t="str">
            <v>Weightage</v>
          </cell>
          <cell r="L1" t="str">
            <v>Interest Coverage Ratio</v>
          </cell>
          <cell r="M1" t="str">
            <v>Weightage</v>
          </cell>
          <cell r="N1" t="str">
            <v>Return over 3Y (%)</v>
          </cell>
          <cell r="O1" t="str">
            <v>Weightage</v>
          </cell>
          <cell r="P1" t="str">
            <v>Sales Growth 3Y (%)</v>
          </cell>
          <cell r="Q1" t="str">
            <v>Weightage</v>
          </cell>
          <cell r="R1" t="str">
            <v>Profit Growth 3Y (%)</v>
          </cell>
          <cell r="S1" t="str">
            <v>Weightage</v>
          </cell>
          <cell r="T1" t="str">
            <v>Total Score (Weighted)</v>
          </cell>
          <cell r="U1" t="str">
            <v>Final Rank</v>
          </cell>
        </row>
        <row r="2">
          <cell r="A2" t="str">
            <v>Weightage</v>
          </cell>
          <cell r="B2">
            <v>40</v>
          </cell>
          <cell r="C2"/>
          <cell r="D2"/>
          <cell r="E2"/>
          <cell r="F2"/>
          <cell r="G2"/>
          <cell r="H2">
            <v>20</v>
          </cell>
          <cell r="I2"/>
          <cell r="J2">
            <v>10</v>
          </cell>
          <cell r="K2"/>
          <cell r="L2"/>
          <cell r="M2"/>
          <cell r="N2">
            <v>30</v>
          </cell>
          <cell r="O2"/>
          <cell r="P2"/>
          <cell r="Q2"/>
          <cell r="R2"/>
          <cell r="S2"/>
        </row>
        <row r="3">
          <cell r="A3" t="str">
            <v>Metrics</v>
          </cell>
          <cell r="B3">
            <v>13.33</v>
          </cell>
          <cell r="C3"/>
          <cell r="D3">
            <v>13.33</v>
          </cell>
          <cell r="E3"/>
          <cell r="F3">
            <v>13.34</v>
          </cell>
          <cell r="G3"/>
          <cell r="H3">
            <v>20</v>
          </cell>
          <cell r="I3"/>
          <cell r="J3">
            <v>5</v>
          </cell>
          <cell r="K3"/>
          <cell r="L3">
            <v>5</v>
          </cell>
          <cell r="M3"/>
          <cell r="N3">
            <v>10</v>
          </cell>
          <cell r="O3"/>
          <cell r="P3">
            <v>10</v>
          </cell>
          <cell r="Q3"/>
          <cell r="R3">
            <v>10</v>
          </cell>
          <cell r="S3"/>
        </row>
        <row r="4">
          <cell r="A4" t="str">
            <v>Voltas</v>
          </cell>
          <cell r="B4">
            <v>13.35</v>
          </cell>
          <cell r="C4">
            <v>4.7917533039647573</v>
          </cell>
          <cell r="D4">
            <v>17.64</v>
          </cell>
          <cell r="E4">
            <v>4.6922407267221811</v>
          </cell>
          <cell r="F4">
            <v>25.43</v>
          </cell>
          <cell r="G4">
            <v>11.137672799602187</v>
          </cell>
          <cell r="H4">
            <v>54.95</v>
          </cell>
          <cell r="I4">
            <v>9.8005884275907142</v>
          </cell>
          <cell r="J4">
            <v>0.14000000000000001</v>
          </cell>
          <cell r="K4">
            <v>0</v>
          </cell>
          <cell r="L4">
            <v>19.920000000000002</v>
          </cell>
          <cell r="M4">
            <v>1.2480834099969338</v>
          </cell>
          <cell r="N4">
            <v>10.37</v>
          </cell>
          <cell r="O4">
            <v>2.8668363019508054</v>
          </cell>
          <cell r="P4">
            <v>24.77</v>
          </cell>
          <cell r="Q4">
            <v>9.6096984033116488</v>
          </cell>
          <cell r="R4">
            <v>17.71</v>
          </cell>
          <cell r="S4">
            <v>3.6286137879911045</v>
          </cell>
          <cell r="T4">
            <v>47.775487161130336</v>
          </cell>
          <cell r="U4">
            <v>3</v>
          </cell>
        </row>
        <row r="5">
          <cell r="A5" t="str">
            <v>Havells India</v>
          </cell>
          <cell r="B5">
            <v>18.79</v>
          </cell>
          <cell r="C5">
            <v>11.180757709251099</v>
          </cell>
          <cell r="D5">
            <v>25.32</v>
          </cell>
          <cell r="E5">
            <v>12.442006056018169</v>
          </cell>
          <cell r="F5">
            <v>22.52</v>
          </cell>
          <cell r="G5">
            <v>9.207319741422177</v>
          </cell>
          <cell r="H5">
            <v>69.94</v>
          </cell>
          <cell r="I5">
            <v>0</v>
          </cell>
          <cell r="J5">
            <v>0.04</v>
          </cell>
          <cell r="K5">
            <v>4.1666666666666661</v>
          </cell>
          <cell r="L5">
            <v>44.39</v>
          </cell>
          <cell r="M5">
            <v>5</v>
          </cell>
          <cell r="N5">
            <v>8.17</v>
          </cell>
          <cell r="O5">
            <v>2.4936386768447836</v>
          </cell>
          <cell r="P5">
            <v>16.04</v>
          </cell>
          <cell r="Q5">
            <v>4.4470727380248372</v>
          </cell>
          <cell r="R5">
            <v>7.37</v>
          </cell>
          <cell r="S5">
            <v>1.7123795404002964</v>
          </cell>
          <cell r="T5">
            <v>50.649841128628026</v>
          </cell>
          <cell r="U5">
            <v>2</v>
          </cell>
        </row>
        <row r="6">
          <cell r="A6" t="str">
            <v>Crompton Gr. Con</v>
          </cell>
          <cell r="B6">
            <v>17.399999999999999</v>
          </cell>
          <cell r="C6">
            <v>9.5482731277533013</v>
          </cell>
          <cell r="D6">
            <v>19.010000000000002</v>
          </cell>
          <cell r="E6">
            <v>6.0746858440575338</v>
          </cell>
          <cell r="F6">
            <v>8.64</v>
          </cell>
          <cell r="G6">
            <v>0</v>
          </cell>
          <cell r="H6">
            <v>39.35</v>
          </cell>
          <cell r="I6">
            <v>20</v>
          </cell>
          <cell r="J6">
            <v>0.14000000000000001</v>
          </cell>
          <cell r="K6">
            <v>0</v>
          </cell>
          <cell r="L6">
            <v>16.760000000000002</v>
          </cell>
          <cell r="M6">
            <v>0.76356945722171155</v>
          </cell>
          <cell r="N6">
            <v>-3.78</v>
          </cell>
          <cell r="O6">
            <v>0.46649703138252763</v>
          </cell>
          <cell r="P6">
            <v>13.39</v>
          </cell>
          <cell r="Q6">
            <v>2.8799526907155535</v>
          </cell>
          <cell r="R6">
            <v>-1.87</v>
          </cell>
          <cell r="S6">
            <v>0</v>
          </cell>
          <cell r="T6">
            <v>39.732978151130631</v>
          </cell>
          <cell r="U6">
            <v>4</v>
          </cell>
        </row>
        <row r="7">
          <cell r="A7" t="str">
            <v>Whirlpool India</v>
          </cell>
          <cell r="B7">
            <v>9.27</v>
          </cell>
          <cell r="C7">
            <v>0</v>
          </cell>
          <cell r="D7">
            <v>12.99</v>
          </cell>
          <cell r="E7">
            <v>0</v>
          </cell>
          <cell r="F7">
            <v>28.3</v>
          </cell>
          <cell r="G7">
            <v>13.041491795126802</v>
          </cell>
          <cell r="H7">
            <v>51.91</v>
          </cell>
          <cell r="I7">
            <v>11.788166067342271</v>
          </cell>
          <cell r="J7">
            <v>0.02</v>
          </cell>
          <cell r="K7">
            <v>5</v>
          </cell>
          <cell r="L7">
            <v>11.78</v>
          </cell>
          <cell r="M7">
            <v>0</v>
          </cell>
          <cell r="N7">
            <v>-6.53</v>
          </cell>
          <cell r="O7">
            <v>0</v>
          </cell>
          <cell r="P7">
            <v>8.52</v>
          </cell>
          <cell r="Q7">
            <v>0</v>
          </cell>
          <cell r="R7">
            <v>7.26</v>
          </cell>
          <cell r="S7">
            <v>1.6919940696812452</v>
          </cell>
          <cell r="T7">
            <v>31.52165193215032</v>
          </cell>
          <cell r="U7">
            <v>5</v>
          </cell>
        </row>
        <row r="8">
          <cell r="A8" t="str">
            <v>Blue Star</v>
          </cell>
          <cell r="B8">
            <v>20.62</v>
          </cell>
          <cell r="C8">
            <v>13.33</v>
          </cell>
          <cell r="D8">
            <v>26.2</v>
          </cell>
          <cell r="E8">
            <v>13.33</v>
          </cell>
          <cell r="F8">
            <v>28.75</v>
          </cell>
          <cell r="G8">
            <v>13.34</v>
          </cell>
          <cell r="H8">
            <v>61.47</v>
          </cell>
          <cell r="I8">
            <v>5.5377574370709386</v>
          </cell>
          <cell r="J8">
            <v>0.12</v>
          </cell>
          <cell r="K8">
            <v>0.83333333333333393</v>
          </cell>
          <cell r="L8">
            <v>16.920000000000002</v>
          </cell>
          <cell r="M8">
            <v>0.78810180926096329</v>
          </cell>
          <cell r="N8">
            <v>52.42</v>
          </cell>
          <cell r="O8">
            <v>10</v>
          </cell>
          <cell r="P8">
            <v>25.43</v>
          </cell>
          <cell r="Q8">
            <v>10</v>
          </cell>
          <cell r="R8">
            <v>52.09</v>
          </cell>
          <cell r="S8">
            <v>10</v>
          </cell>
          <cell r="T8">
            <v>77.159192579665245</v>
          </cell>
          <cell r="U8">
            <v>1</v>
          </cell>
        </row>
        <row r="10">
          <cell r="H10" t="str">
            <v>P/E Ratio</v>
          </cell>
          <cell r="J10" t="str">
            <v>Debt to Equity</v>
          </cell>
        </row>
      </sheetData>
      <sheetData sheetId="3">
        <row r="1">
          <cell r="A1" t="str">
            <v>Stocks</v>
          </cell>
          <cell r="B1" t="str">
            <v>ROE ratio</v>
          </cell>
          <cell r="C1" t="str">
            <v>Weightage</v>
          </cell>
          <cell r="D1" t="str">
            <v>ROCE (%)</v>
          </cell>
          <cell r="E1" t="str">
            <v>Weightage</v>
          </cell>
          <cell r="F1" t="str">
            <v>EPS</v>
          </cell>
          <cell r="G1" t="str">
            <v>Weightage</v>
          </cell>
          <cell r="H1" t="str">
            <v>P/E Ratio</v>
          </cell>
          <cell r="I1" t="str">
            <v>Weightage</v>
          </cell>
          <cell r="J1" t="str">
            <v>Debt to Equity</v>
          </cell>
          <cell r="K1" t="str">
            <v>Weightage</v>
          </cell>
          <cell r="L1" t="str">
            <v>Interest Coverage Ratio</v>
          </cell>
          <cell r="M1" t="str">
            <v>Weightage</v>
          </cell>
          <cell r="N1" t="str">
            <v>Return over 3Y (%)</v>
          </cell>
          <cell r="O1" t="str">
            <v>Weightage</v>
          </cell>
          <cell r="P1" t="str">
            <v>Sales Growth 3Y (%)</v>
          </cell>
          <cell r="Q1" t="str">
            <v>Weightage</v>
          </cell>
          <cell r="R1" t="str">
            <v>Profit Growth 3Y (%)</v>
          </cell>
          <cell r="S1" t="str">
            <v>Weightage</v>
          </cell>
        </row>
        <row r="2">
          <cell r="A2" t="str">
            <v>Weightage</v>
          </cell>
          <cell r="B2">
            <v>35</v>
          </cell>
          <cell r="C2"/>
          <cell r="D2"/>
          <cell r="E2"/>
          <cell r="F2"/>
          <cell r="G2"/>
          <cell r="H2">
            <v>20</v>
          </cell>
          <cell r="I2"/>
          <cell r="J2">
            <v>30</v>
          </cell>
          <cell r="K2"/>
          <cell r="L2"/>
          <cell r="M2"/>
          <cell r="N2">
            <v>15</v>
          </cell>
          <cell r="O2"/>
          <cell r="P2"/>
          <cell r="Q2"/>
          <cell r="R2"/>
          <cell r="S2"/>
        </row>
        <row r="3">
          <cell r="A3" t="str">
            <v>Metrics</v>
          </cell>
          <cell r="B3">
            <v>11.67</v>
          </cell>
          <cell r="C3"/>
          <cell r="D3">
            <v>11.66</v>
          </cell>
          <cell r="E3"/>
          <cell r="F3">
            <v>11.67</v>
          </cell>
          <cell r="G3"/>
          <cell r="H3">
            <v>20</v>
          </cell>
          <cell r="I3"/>
          <cell r="J3">
            <v>15</v>
          </cell>
          <cell r="K3"/>
          <cell r="L3">
            <v>15</v>
          </cell>
          <cell r="M3"/>
          <cell r="N3">
            <v>5</v>
          </cell>
          <cell r="O3"/>
          <cell r="P3">
            <v>5</v>
          </cell>
          <cell r="Q3"/>
          <cell r="R3">
            <v>5</v>
          </cell>
          <cell r="S3"/>
        </row>
        <row r="4">
          <cell r="A4" t="str">
            <v>HDFC Bank</v>
          </cell>
          <cell r="B4">
            <v>14.45</v>
          </cell>
          <cell r="C4">
            <v>2.3762443438914</v>
          </cell>
          <cell r="D4">
            <v>7.51</v>
          </cell>
          <cell r="E4">
            <v>6.1235971223021561</v>
          </cell>
          <cell r="F4">
            <v>92.26</v>
          </cell>
          <cell r="G4">
            <v>9.5331761762724909</v>
          </cell>
          <cell r="H4">
            <v>22</v>
          </cell>
          <cell r="I4">
            <v>0</v>
          </cell>
          <cell r="J4">
            <v>6.41</v>
          </cell>
          <cell r="K4">
            <v>4.1689373297002703</v>
          </cell>
          <cell r="L4">
            <v>1.5</v>
          </cell>
          <cell r="M4">
            <v>0</v>
          </cell>
          <cell r="N4">
            <v>12.98</v>
          </cell>
          <cell r="O4">
            <v>1.017048794826573</v>
          </cell>
          <cell r="P4">
            <v>35.26</v>
          </cell>
          <cell r="Q4">
            <v>5</v>
          </cell>
          <cell r="R4">
            <v>22.98</v>
          </cell>
          <cell r="S4">
            <v>0.14925373134328362</v>
          </cell>
        </row>
        <row r="5">
          <cell r="A5" t="str">
            <v>ICICI Bank</v>
          </cell>
          <cell r="B5">
            <v>17.97</v>
          </cell>
          <cell r="C5">
            <v>11.67</v>
          </cell>
          <cell r="D5">
            <v>7.88</v>
          </cell>
          <cell r="E5">
            <v>9.2273381294964025</v>
          </cell>
          <cell r="F5">
            <v>74.58</v>
          </cell>
          <cell r="G5">
            <v>7.5479399595881835</v>
          </cell>
          <cell r="H5">
            <v>20.09</v>
          </cell>
          <cell r="I5">
            <v>3.9381443298969074</v>
          </cell>
          <cell r="J5">
            <v>5.97</v>
          </cell>
          <cell r="K5">
            <v>5.9673024523160763</v>
          </cell>
          <cell r="L5">
            <v>1.83</v>
          </cell>
          <cell r="M5">
            <v>9.5192307692307701</v>
          </cell>
          <cell r="N5">
            <v>22.81</v>
          </cell>
          <cell r="O5">
            <v>2.4617871840094065</v>
          </cell>
          <cell r="P5">
            <v>25</v>
          </cell>
          <cell r="Q5">
            <v>2.2741764080765146</v>
          </cell>
          <cell r="R5">
            <v>26.67</v>
          </cell>
          <cell r="S5">
            <v>0.98371777476255129</v>
          </cell>
        </row>
        <row r="6">
          <cell r="A6" t="str">
            <v>IDBI Bank</v>
          </cell>
          <cell r="B6">
            <v>13.55</v>
          </cell>
          <cell r="C6">
            <v>0</v>
          </cell>
          <cell r="D6">
            <v>6.78</v>
          </cell>
          <cell r="E6">
            <v>0</v>
          </cell>
          <cell r="F6">
            <v>7.36</v>
          </cell>
          <cell r="G6">
            <v>0</v>
          </cell>
          <cell r="H6">
            <v>13.23</v>
          </cell>
          <cell r="I6">
            <v>18.082474226804123</v>
          </cell>
          <cell r="J6">
            <v>5.35</v>
          </cell>
          <cell r="K6">
            <v>8.5013623978201647</v>
          </cell>
          <cell r="L6">
            <v>1.73</v>
          </cell>
          <cell r="M6">
            <v>6.6346153846153832</v>
          </cell>
          <cell r="N6">
            <v>40.08</v>
          </cell>
          <cell r="O6">
            <v>5</v>
          </cell>
          <cell r="P6">
            <v>16.440000000000001</v>
          </cell>
          <cell r="Q6">
            <v>0</v>
          </cell>
          <cell r="R6">
            <v>44.43</v>
          </cell>
          <cell r="S6">
            <v>5</v>
          </cell>
        </row>
        <row r="7">
          <cell r="A7" t="str">
            <v>Kotak Mah. Bank</v>
          </cell>
          <cell r="B7">
            <v>15.37</v>
          </cell>
          <cell r="C7">
            <v>4.8052941176470565</v>
          </cell>
          <cell r="D7">
            <v>8.17</v>
          </cell>
          <cell r="E7">
            <v>11.66</v>
          </cell>
          <cell r="F7">
            <v>111.29</v>
          </cell>
          <cell r="G7">
            <v>11.67</v>
          </cell>
          <cell r="H7">
            <v>19.54</v>
          </cell>
          <cell r="I7">
            <v>5.0721649484536098</v>
          </cell>
          <cell r="J7">
            <v>3.76</v>
          </cell>
          <cell r="K7">
            <v>15</v>
          </cell>
          <cell r="L7">
            <v>2.02</v>
          </cell>
          <cell r="M7">
            <v>15</v>
          </cell>
          <cell r="N7">
            <v>6.06</v>
          </cell>
          <cell r="O7">
            <v>0</v>
          </cell>
          <cell r="P7">
            <v>24.85</v>
          </cell>
          <cell r="Q7">
            <v>2.2343251859723705</v>
          </cell>
          <cell r="R7">
            <v>22.32</v>
          </cell>
          <cell r="S7">
            <v>0</v>
          </cell>
        </row>
        <row r="8">
          <cell r="A8" t="str">
            <v>Axis Bank</v>
          </cell>
          <cell r="B8">
            <v>16.3</v>
          </cell>
          <cell r="C8">
            <v>7.2607466063348447</v>
          </cell>
          <cell r="D8">
            <v>7.11</v>
          </cell>
          <cell r="E8">
            <v>2.768201438848922</v>
          </cell>
          <cell r="F8">
            <v>89.98</v>
          </cell>
          <cell r="G8">
            <v>9.2771615510439709</v>
          </cell>
          <cell r="H8">
            <v>12.3</v>
          </cell>
          <cell r="I8">
            <v>20</v>
          </cell>
          <cell r="J8">
            <v>7.43</v>
          </cell>
          <cell r="K8">
            <v>0</v>
          </cell>
          <cell r="L8">
            <v>1.5</v>
          </cell>
          <cell r="M8">
            <v>0</v>
          </cell>
          <cell r="N8">
            <v>14.61</v>
          </cell>
          <cell r="O8">
            <v>1.256613756613757</v>
          </cell>
          <cell r="P8">
            <v>22.76</v>
          </cell>
          <cell r="Q8">
            <v>1.6790648246546231</v>
          </cell>
          <cell r="R8">
            <v>25.72</v>
          </cell>
          <cell r="S8">
            <v>0.76888285843509696</v>
          </cell>
        </row>
        <row r="11">
          <cell r="H11" t="str">
            <v>P/E Ratio</v>
          </cell>
          <cell r="I11"/>
          <cell r="J11" t="str">
            <v>Debt to Equity</v>
          </cell>
        </row>
      </sheetData>
      <sheetData sheetId="4">
        <row r="1">
          <cell r="A1" t="str">
            <v>Stocks</v>
          </cell>
          <cell r="B1" t="str">
            <v>ROE ratio</v>
          </cell>
          <cell r="C1" t="str">
            <v>Weightage</v>
          </cell>
          <cell r="D1" t="str">
            <v>ROCE (%)</v>
          </cell>
          <cell r="E1" t="str">
            <v>Weightage</v>
          </cell>
          <cell r="F1" t="str">
            <v>EPS</v>
          </cell>
          <cell r="G1" t="str">
            <v>Weightage</v>
          </cell>
          <cell r="H1" t="str">
            <v>P/E Ratio</v>
          </cell>
          <cell r="I1" t="str">
            <v>Weightage</v>
          </cell>
          <cell r="J1" t="str">
            <v>Debt to Equity</v>
          </cell>
          <cell r="K1" t="str">
            <v>Weightage</v>
          </cell>
          <cell r="L1" t="str">
            <v>Interest Coverage Ratio</v>
          </cell>
          <cell r="M1" t="str">
            <v>Weightage</v>
          </cell>
          <cell r="N1" t="str">
            <v>Return over 3Y (%)</v>
          </cell>
          <cell r="O1" t="str">
            <v>Weightage</v>
          </cell>
          <cell r="P1" t="str">
            <v>Sales Growth 3Y (%)</v>
          </cell>
          <cell r="Q1" t="str">
            <v>Weightage</v>
          </cell>
          <cell r="R1" t="str">
            <v>Profit Growth 3Y (%)</v>
          </cell>
          <cell r="S1" t="str">
            <v>Weightage</v>
          </cell>
        </row>
        <row r="2">
          <cell r="A2" t="str">
            <v>Weightage</v>
          </cell>
          <cell r="B2">
            <v>35</v>
          </cell>
          <cell r="C2"/>
          <cell r="D2"/>
          <cell r="E2"/>
          <cell r="F2"/>
          <cell r="G2"/>
          <cell r="H2">
            <v>20</v>
          </cell>
          <cell r="I2"/>
          <cell r="J2">
            <v>15</v>
          </cell>
          <cell r="K2"/>
          <cell r="L2"/>
          <cell r="M2"/>
          <cell r="N2">
            <v>30</v>
          </cell>
          <cell r="O2"/>
          <cell r="P2"/>
          <cell r="Q2"/>
          <cell r="R2"/>
          <cell r="S2"/>
        </row>
        <row r="3">
          <cell r="A3" t="str">
            <v>Metrics</v>
          </cell>
          <cell r="B3">
            <v>11.67</v>
          </cell>
          <cell r="C3"/>
          <cell r="D3">
            <v>11.67</v>
          </cell>
          <cell r="E3"/>
          <cell r="F3">
            <v>11.66</v>
          </cell>
          <cell r="G3"/>
          <cell r="H3">
            <v>20</v>
          </cell>
          <cell r="I3"/>
          <cell r="J3">
            <v>7.5</v>
          </cell>
          <cell r="K3"/>
          <cell r="L3">
            <v>7.5</v>
          </cell>
          <cell r="M3"/>
          <cell r="N3">
            <v>10</v>
          </cell>
          <cell r="O3"/>
          <cell r="P3">
            <v>10</v>
          </cell>
          <cell r="Q3"/>
          <cell r="R3">
            <v>10</v>
          </cell>
          <cell r="S3"/>
        </row>
        <row r="4">
          <cell r="A4" t="str">
            <v>Maruti Suzuki</v>
          </cell>
          <cell r="B4">
            <v>15.95</v>
          </cell>
          <cell r="C4">
            <v>0</v>
          </cell>
          <cell r="D4">
            <v>21.76</v>
          </cell>
          <cell r="E4">
            <v>5.7577882797731581</v>
          </cell>
          <cell r="F4">
            <v>461.2</v>
          </cell>
          <cell r="G4">
            <v>7.776963658692682</v>
          </cell>
          <cell r="H4">
            <v>27.37</v>
          </cell>
          <cell r="I4">
            <v>7.0451339915373756</v>
          </cell>
          <cell r="J4">
            <v>0</v>
          </cell>
          <cell r="K4">
            <v>7.5</v>
          </cell>
          <cell r="L4">
            <v>102.03</v>
          </cell>
          <cell r="M4">
            <v>7.5</v>
          </cell>
          <cell r="N4">
            <v>13.35</v>
          </cell>
          <cell r="O4">
            <v>0.19489862655330284</v>
          </cell>
          <cell r="P4">
            <v>20.07</v>
          </cell>
          <cell r="Q4">
            <v>2.3011928429423461</v>
          </cell>
          <cell r="R4">
            <v>72.510000000000005</v>
          </cell>
          <cell r="S4">
            <v>6.9566677863621091</v>
          </cell>
        </row>
        <row r="5">
          <cell r="A5" t="str">
            <v>Tata Motors</v>
          </cell>
          <cell r="B5">
            <v>28.08</v>
          </cell>
          <cell r="C5">
            <v>11.67</v>
          </cell>
          <cell r="D5">
            <v>19.97</v>
          </cell>
          <cell r="E5">
            <v>4.4415122873345929</v>
          </cell>
          <cell r="F5">
            <v>75.599999999999994</v>
          </cell>
          <cell r="G5">
            <v>0</v>
          </cell>
          <cell r="H5">
            <v>9</v>
          </cell>
          <cell r="I5">
            <v>20</v>
          </cell>
          <cell r="J5">
            <v>0.62</v>
          </cell>
          <cell r="K5">
            <v>4.7155688622754486</v>
          </cell>
          <cell r="L5">
            <v>7.75</v>
          </cell>
          <cell r="M5">
            <v>0.35252198524209039</v>
          </cell>
          <cell r="N5">
            <v>15.93</v>
          </cell>
          <cell r="O5">
            <v>0.3636363636363637</v>
          </cell>
          <cell r="P5">
            <v>16.45</v>
          </cell>
          <cell r="Q5">
            <v>0.50198807157057623</v>
          </cell>
          <cell r="R5">
            <v>65.489999999999995</v>
          </cell>
          <cell r="S5">
            <v>6.1706415854887462</v>
          </cell>
        </row>
        <row r="6">
          <cell r="A6" t="str">
            <v>M &amp; M</v>
          </cell>
          <cell r="B6">
            <v>18.05</v>
          </cell>
          <cell r="C6">
            <v>2.0203627370156654</v>
          </cell>
          <cell r="D6">
            <v>13.93</v>
          </cell>
          <cell r="E6">
            <v>0</v>
          </cell>
          <cell r="F6">
            <v>103.97</v>
          </cell>
          <cell r="G6">
            <v>0.57217961358172054</v>
          </cell>
          <cell r="H6">
            <v>31.42</v>
          </cell>
          <cell r="I6">
            <v>4.1889985895627628</v>
          </cell>
          <cell r="J6">
            <v>1.67</v>
          </cell>
          <cell r="K6">
            <v>0</v>
          </cell>
          <cell r="L6">
            <v>3.1</v>
          </cell>
          <cell r="M6">
            <v>0</v>
          </cell>
          <cell r="N6">
            <v>10.37</v>
          </cell>
          <cell r="O6">
            <v>0</v>
          </cell>
          <cell r="P6">
            <v>20.87</v>
          </cell>
          <cell r="Q6">
            <v>2.6988071570576544</v>
          </cell>
          <cell r="R6">
            <v>27.17</v>
          </cell>
          <cell r="S6">
            <v>1.8799686485276004</v>
          </cell>
        </row>
        <row r="7">
          <cell r="A7" t="str">
            <v>Force Motors</v>
          </cell>
          <cell r="B7">
            <v>20.68</v>
          </cell>
          <cell r="C7">
            <v>4.5506265457543291</v>
          </cell>
          <cell r="D7">
            <v>29.8</v>
          </cell>
          <cell r="E7">
            <v>11.67</v>
          </cell>
          <cell r="F7">
            <v>653.73</v>
          </cell>
          <cell r="G7">
            <v>11.66</v>
          </cell>
          <cell r="H7">
            <v>37.36</v>
          </cell>
          <cell r="I7">
            <v>0</v>
          </cell>
          <cell r="J7">
            <v>0.01</v>
          </cell>
          <cell r="K7">
            <v>7.455089820359281</v>
          </cell>
          <cell r="L7">
            <v>56.47</v>
          </cell>
          <cell r="M7">
            <v>4.0460426564237331</v>
          </cell>
          <cell r="N7">
            <v>163.27000000000001</v>
          </cell>
          <cell r="O7">
            <v>10</v>
          </cell>
          <cell r="P7">
            <v>35.56</v>
          </cell>
          <cell r="Q7">
            <v>10</v>
          </cell>
          <cell r="R7">
            <v>99.69</v>
          </cell>
          <cell r="S7">
            <v>10</v>
          </cell>
        </row>
        <row r="8">
          <cell r="A8" t="str">
            <v>Bajaj Auto</v>
          </cell>
          <cell r="B8">
            <v>22.77</v>
          </cell>
          <cell r="C8">
            <v>6.5613685078318236</v>
          </cell>
          <cell r="D8">
            <v>22.77</v>
          </cell>
          <cell r="E8">
            <v>6.5004914933837421</v>
          </cell>
          <cell r="F8">
            <v>262.29000000000002</v>
          </cell>
          <cell r="G8">
            <v>3.7652524518706869</v>
          </cell>
          <cell r="H8">
            <v>9.4499999999999993</v>
          </cell>
          <cell r="I8">
            <v>19.682651622002822</v>
          </cell>
          <cell r="J8">
            <v>0.27</v>
          </cell>
          <cell r="K8">
            <v>6.2874251497005984</v>
          </cell>
          <cell r="L8">
            <v>27.21</v>
          </cell>
          <cell r="M8">
            <v>1.8278075406853329</v>
          </cell>
          <cell r="N8">
            <v>27.26</v>
          </cell>
          <cell r="O8">
            <v>1.1046435578809679</v>
          </cell>
          <cell r="P8">
            <v>15.44</v>
          </cell>
          <cell r="Q8">
            <v>0</v>
          </cell>
          <cell r="R8">
            <v>10.38</v>
          </cell>
          <cell r="S8">
            <v>0</v>
          </cell>
        </row>
        <row r="10">
          <cell r="D10"/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TITAN/consolidated/" TargetMode="External"/><Relationship Id="rId13" Type="http://schemas.openxmlformats.org/officeDocument/2006/relationships/hyperlink" Target="https://www.screener.in/company/KALYANKJIL/consolidated/" TargetMode="External"/><Relationship Id="rId18" Type="http://schemas.openxmlformats.org/officeDocument/2006/relationships/hyperlink" Target="https://www.screener.in/company/CROMPTON/consolidated/" TargetMode="External"/><Relationship Id="rId26" Type="http://schemas.openxmlformats.org/officeDocument/2006/relationships/hyperlink" Target="https://www.screener.in/company/OLECTRA/consolidated/" TargetMode="External"/><Relationship Id="rId3" Type="http://schemas.openxmlformats.org/officeDocument/2006/relationships/hyperlink" Target="https://www.screener.in/company/KOTAKBANK/consolidated/" TargetMode="External"/><Relationship Id="rId21" Type="http://schemas.openxmlformats.org/officeDocument/2006/relationships/hyperlink" Target="https://www.screener.in/company/M&amp;M/consolidated/" TargetMode="External"/><Relationship Id="rId7" Type="http://schemas.openxmlformats.org/officeDocument/2006/relationships/hyperlink" Target="https://www.screener.in/company/YESBANK/consolidated/" TargetMode="External"/><Relationship Id="rId12" Type="http://schemas.openxmlformats.org/officeDocument/2006/relationships/hyperlink" Target="https://www.screener.in/company/BERGEPAINT/consolidated/" TargetMode="External"/><Relationship Id="rId17" Type="http://schemas.openxmlformats.org/officeDocument/2006/relationships/hyperlink" Target="https://www.screener.in/company/PGEL/consolidated/" TargetMode="External"/><Relationship Id="rId25" Type="http://schemas.openxmlformats.org/officeDocument/2006/relationships/hyperlink" Target="https://www.screener.in/company/FORCEMOT/consolidated/" TargetMode="External"/><Relationship Id="rId2" Type="http://schemas.openxmlformats.org/officeDocument/2006/relationships/hyperlink" Target="https://www.screener.in/company/ICICIBANK/consolidated/" TargetMode="External"/><Relationship Id="rId16" Type="http://schemas.openxmlformats.org/officeDocument/2006/relationships/hyperlink" Target="https://www.screener.in/company/AMBER/consolidated/" TargetMode="External"/><Relationship Id="rId20" Type="http://schemas.openxmlformats.org/officeDocument/2006/relationships/hyperlink" Target="https://www.screener.in/company/BATAINDIA/consolidated/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company/HDFCBANK/consolidated/" TargetMode="External"/><Relationship Id="rId6" Type="http://schemas.openxmlformats.org/officeDocument/2006/relationships/hyperlink" Target="https://www.screener.in/company/INDUSINDBK/" TargetMode="External"/><Relationship Id="rId11" Type="http://schemas.openxmlformats.org/officeDocument/2006/relationships/hyperlink" Target="https://www.screener.in/company/HAVELLS/consolidated/" TargetMode="External"/><Relationship Id="rId24" Type="http://schemas.openxmlformats.org/officeDocument/2006/relationships/hyperlink" Target="https://www.screener.in/company/HYUNDAI/" TargetMode="External"/><Relationship Id="rId5" Type="http://schemas.openxmlformats.org/officeDocument/2006/relationships/hyperlink" Target="https://www.screener.in/company/IDBI/consolidated/" TargetMode="External"/><Relationship Id="rId15" Type="http://schemas.openxmlformats.org/officeDocument/2006/relationships/hyperlink" Target="https://www.screener.in/company/BLUESTARCO/consolidated/" TargetMode="External"/><Relationship Id="rId23" Type="http://schemas.openxmlformats.org/officeDocument/2006/relationships/hyperlink" Target="https://www.screener.in/company/TATAMOTORS/consolidated/" TargetMode="External"/><Relationship Id="rId28" Type="http://schemas.openxmlformats.org/officeDocument/2006/relationships/hyperlink" Target="https://www.screener.in/company/BAJAJ-AUTO/consolidated/" TargetMode="External"/><Relationship Id="rId10" Type="http://schemas.openxmlformats.org/officeDocument/2006/relationships/hyperlink" Target="https://www.screener.in/company/DIXON/consolidated/" TargetMode="External"/><Relationship Id="rId19" Type="http://schemas.openxmlformats.org/officeDocument/2006/relationships/hyperlink" Target="https://www.screener.in/company/WHIRLPOOL/consolidated/" TargetMode="External"/><Relationship Id="rId4" Type="http://schemas.openxmlformats.org/officeDocument/2006/relationships/hyperlink" Target="https://www.screener.in/company/AXISBANK/consolidated/" TargetMode="External"/><Relationship Id="rId9" Type="http://schemas.openxmlformats.org/officeDocument/2006/relationships/hyperlink" Target="https://www.screener.in/company/ASIANPAINT/consolidated/" TargetMode="External"/><Relationship Id="rId14" Type="http://schemas.openxmlformats.org/officeDocument/2006/relationships/hyperlink" Target="https://www.screener.in/company/VOLTAS/consolidated/" TargetMode="External"/><Relationship Id="rId22" Type="http://schemas.openxmlformats.org/officeDocument/2006/relationships/hyperlink" Target="https://www.screener.in/company/MARUTI/consolidated/" TargetMode="External"/><Relationship Id="rId27" Type="http://schemas.openxmlformats.org/officeDocument/2006/relationships/hyperlink" Target="https://www.screener.in/company/531357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AB08-AE1C-432B-BE67-DFA5C5D19020}">
  <dimension ref="T2:AA13"/>
  <sheetViews>
    <sheetView showGridLines="0" tabSelected="1" topLeftCell="A2" zoomScale="55" workbookViewId="0">
      <selection activeCell="S14" sqref="S14"/>
    </sheetView>
  </sheetViews>
  <sheetFormatPr defaultRowHeight="14.5" x14ac:dyDescent="0.35"/>
  <cols>
    <col min="20" max="20" width="22.6328125" customWidth="1"/>
    <col min="23" max="23" width="28.453125" customWidth="1"/>
    <col min="26" max="26" width="29.81640625" customWidth="1"/>
  </cols>
  <sheetData>
    <row r="2" spans="20:27" ht="15" thickBot="1" x14ac:dyDescent="0.4"/>
    <row r="3" spans="20:27" x14ac:dyDescent="0.35">
      <c r="T3" s="56" t="s">
        <v>76</v>
      </c>
      <c r="U3" s="57"/>
      <c r="V3" s="37"/>
      <c r="W3" s="68" t="s">
        <v>77</v>
      </c>
      <c r="X3" s="57"/>
      <c r="Y3" s="37"/>
      <c r="Z3" s="72" t="s">
        <v>78</v>
      </c>
      <c r="AA3" s="57"/>
    </row>
    <row r="4" spans="20:27" x14ac:dyDescent="0.35">
      <c r="T4" s="58"/>
      <c r="U4" s="59"/>
      <c r="V4" s="37"/>
      <c r="W4" s="58"/>
      <c r="X4" s="59"/>
      <c r="Y4" s="37"/>
      <c r="Z4" s="58"/>
      <c r="AA4" s="59"/>
    </row>
    <row r="5" spans="20:27" x14ac:dyDescent="0.35">
      <c r="T5" s="60" t="s">
        <v>79</v>
      </c>
      <c r="U5" s="61" t="s">
        <v>80</v>
      </c>
      <c r="V5" s="37"/>
      <c r="W5" s="60" t="s">
        <v>79</v>
      </c>
      <c r="X5" s="69" t="s">
        <v>81</v>
      </c>
      <c r="Y5" s="37"/>
      <c r="Z5" s="60" t="s">
        <v>79</v>
      </c>
      <c r="AA5" s="73" t="s">
        <v>80</v>
      </c>
    </row>
    <row r="6" spans="20:27" x14ac:dyDescent="0.35">
      <c r="T6" s="62" t="s">
        <v>82</v>
      </c>
      <c r="U6" s="63" t="s">
        <v>80</v>
      </c>
      <c r="V6" s="37"/>
      <c r="W6" s="62" t="s">
        <v>82</v>
      </c>
      <c r="X6" s="70" t="s">
        <v>81</v>
      </c>
      <c r="Y6" s="37"/>
      <c r="Z6" s="62" t="s">
        <v>82</v>
      </c>
      <c r="AA6" s="74" t="s">
        <v>80</v>
      </c>
    </row>
    <row r="7" spans="20:27" x14ac:dyDescent="0.35">
      <c r="T7" s="60" t="s">
        <v>49</v>
      </c>
      <c r="U7" s="61" t="s">
        <v>80</v>
      </c>
      <c r="V7" s="37"/>
      <c r="W7" s="60" t="s">
        <v>49</v>
      </c>
      <c r="X7" s="69" t="s">
        <v>81</v>
      </c>
      <c r="Y7" s="37"/>
      <c r="Z7" s="60" t="s">
        <v>49</v>
      </c>
      <c r="AA7" s="73" t="s">
        <v>80</v>
      </c>
    </row>
    <row r="8" spans="20:27" x14ac:dyDescent="0.35">
      <c r="T8" s="62" t="s">
        <v>45</v>
      </c>
      <c r="U8" s="63" t="s">
        <v>83</v>
      </c>
      <c r="V8" s="37"/>
      <c r="W8" s="62" t="s">
        <v>45</v>
      </c>
      <c r="X8" s="70" t="s">
        <v>83</v>
      </c>
      <c r="Y8" s="37"/>
      <c r="Z8" s="62" t="s">
        <v>45</v>
      </c>
      <c r="AA8" s="74" t="s">
        <v>83</v>
      </c>
    </row>
    <row r="9" spans="20:27" x14ac:dyDescent="0.35">
      <c r="T9" s="60" t="s">
        <v>84</v>
      </c>
      <c r="U9" s="61" t="s">
        <v>85</v>
      </c>
      <c r="V9" s="37"/>
      <c r="W9" s="60" t="s">
        <v>84</v>
      </c>
      <c r="X9" s="69" t="s">
        <v>89</v>
      </c>
      <c r="Y9" s="37"/>
      <c r="Z9" s="60" t="s">
        <v>84</v>
      </c>
      <c r="AA9" s="73" t="s">
        <v>87</v>
      </c>
    </row>
    <row r="10" spans="20:27" x14ac:dyDescent="0.35">
      <c r="T10" s="60" t="s">
        <v>88</v>
      </c>
      <c r="U10" s="61" t="s">
        <v>89</v>
      </c>
      <c r="V10" s="37"/>
      <c r="W10" s="60" t="s">
        <v>88</v>
      </c>
      <c r="X10" s="69" t="s">
        <v>86</v>
      </c>
      <c r="Y10" s="37"/>
      <c r="Z10" s="60" t="s">
        <v>88</v>
      </c>
      <c r="AA10" s="73" t="s">
        <v>86</v>
      </c>
    </row>
    <row r="11" spans="20:27" x14ac:dyDescent="0.35">
      <c r="T11" s="62" t="s">
        <v>90</v>
      </c>
      <c r="U11" s="63" t="s">
        <v>89</v>
      </c>
      <c r="V11" s="37"/>
      <c r="W11" s="62" t="s">
        <v>90</v>
      </c>
      <c r="X11" s="69" t="s">
        <v>86</v>
      </c>
      <c r="Y11" s="37"/>
      <c r="Z11" s="62" t="s">
        <v>90</v>
      </c>
      <c r="AA11" s="74" t="s">
        <v>86</v>
      </c>
    </row>
    <row r="12" spans="20:27" x14ac:dyDescent="0.35">
      <c r="T12" s="64" t="s">
        <v>91</v>
      </c>
      <c r="U12" s="65" t="s">
        <v>89</v>
      </c>
      <c r="V12" s="37"/>
      <c r="W12" s="64" t="s">
        <v>91</v>
      </c>
      <c r="X12" s="69" t="s">
        <v>86</v>
      </c>
      <c r="Y12" s="37"/>
      <c r="Z12" s="64" t="s">
        <v>91</v>
      </c>
      <c r="AA12" s="75" t="s">
        <v>86</v>
      </c>
    </row>
    <row r="13" spans="20:27" ht="15" thickBot="1" x14ac:dyDescent="0.4">
      <c r="T13" s="66" t="s">
        <v>92</v>
      </c>
      <c r="U13" s="67" t="s">
        <v>85</v>
      </c>
      <c r="W13" s="66" t="s">
        <v>92</v>
      </c>
      <c r="X13" s="71" t="s">
        <v>89</v>
      </c>
      <c r="Z13" s="66" t="s">
        <v>92</v>
      </c>
      <c r="AA13" s="76" t="s">
        <v>93</v>
      </c>
    </row>
  </sheetData>
  <mergeCells count="3">
    <mergeCell ref="T3:U4"/>
    <mergeCell ref="W3:X4"/>
    <mergeCell ref="Z3:A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B272-ECF2-4C8B-ADD9-3CDD6EC1ABA9}">
  <dimension ref="A1:L21"/>
  <sheetViews>
    <sheetView workbookViewId="0"/>
  </sheetViews>
  <sheetFormatPr defaultRowHeight="14.5" x14ac:dyDescent="0.35"/>
  <cols>
    <col min="1" max="1" width="16.1796875" bestFit="1" customWidth="1"/>
    <col min="2" max="2" width="11.36328125" customWidth="1"/>
    <col min="3" max="3" width="13" customWidth="1"/>
    <col min="6" max="6" width="16.6328125" customWidth="1"/>
    <col min="7" max="7" width="11.81640625" customWidth="1"/>
    <col min="8" max="8" width="12.81640625" customWidth="1"/>
    <col min="12" max="12" width="15.26953125" bestFit="1" customWidth="1"/>
    <col min="13" max="13" width="10.453125" customWidth="1"/>
    <col min="14" max="14" width="12.81640625" customWidth="1"/>
    <col min="17" max="17" width="15.26953125" bestFit="1" customWidth="1"/>
  </cols>
  <sheetData>
    <row r="1" spans="1:12" x14ac:dyDescent="0.35">
      <c r="A1" s="25" t="s">
        <v>61</v>
      </c>
      <c r="B1" s="26" t="s">
        <v>65</v>
      </c>
      <c r="C1" s="26" t="s">
        <v>66</v>
      </c>
      <c r="D1" s="26" t="s">
        <v>67</v>
      </c>
      <c r="F1" s="25" t="s">
        <v>61</v>
      </c>
      <c r="G1" s="27" t="s">
        <v>68</v>
      </c>
      <c r="H1" s="27" t="s">
        <v>69</v>
      </c>
    </row>
    <row r="2" spans="1:12" x14ac:dyDescent="0.35">
      <c r="A2" s="15" t="s">
        <v>32</v>
      </c>
      <c r="B2" s="28">
        <v>77.159192579665245</v>
      </c>
      <c r="C2" s="29"/>
      <c r="D2" s="29"/>
      <c r="F2" s="30" t="s">
        <v>32</v>
      </c>
      <c r="G2" s="29">
        <f>VLOOKUP(F2,'[1]Con. D'!A1:U8,2,0)</f>
        <v>20.62</v>
      </c>
      <c r="H2" s="29">
        <f>VLOOKUP(F2,'[1]Con. D'!A1:E8,4,0)</f>
        <v>26.2</v>
      </c>
    </row>
    <row r="3" spans="1:12" x14ac:dyDescent="0.35">
      <c r="A3" s="15" t="s">
        <v>42</v>
      </c>
      <c r="B3" s="29"/>
      <c r="C3" s="29"/>
      <c r="D3" s="28">
        <v>69.381759022537338</v>
      </c>
      <c r="F3" s="30" t="s">
        <v>42</v>
      </c>
      <c r="G3" s="28">
        <f>VLOOKUP(F3,'[1]Auto. M'!A1:E8,3,0)</f>
        <v>4.5506265457543291</v>
      </c>
      <c r="H3" s="29">
        <f>VLOOKUP(F3,'[1]Auto. M'!A1:E8,4,0)</f>
        <v>29.8</v>
      </c>
      <c r="J3" s="31" t="s">
        <v>70</v>
      </c>
      <c r="K3" s="31" t="s">
        <v>71</v>
      </c>
      <c r="L3" s="31" t="s">
        <v>72</v>
      </c>
    </row>
    <row r="4" spans="1:12" x14ac:dyDescent="0.35">
      <c r="A4" s="15" t="s">
        <v>20</v>
      </c>
      <c r="B4" s="29"/>
      <c r="C4" s="28">
        <v>65.45</v>
      </c>
      <c r="D4" s="29"/>
      <c r="F4" s="30" t="s">
        <v>20</v>
      </c>
      <c r="G4" s="29">
        <f>VLOOKUP(F4,[1]Banking!A1:E8,2,0)</f>
        <v>15.37</v>
      </c>
      <c r="H4" s="29">
        <f>VLOOKUP(F4,[1]Banking!A1:E8,4,0)</f>
        <v>8.17</v>
      </c>
      <c r="J4" s="32" t="s">
        <v>65</v>
      </c>
      <c r="K4" s="33">
        <v>49.367830190540914</v>
      </c>
      <c r="L4" s="33">
        <v>77.159192579665245</v>
      </c>
    </row>
    <row r="5" spans="1:12" x14ac:dyDescent="0.35">
      <c r="A5" s="15" t="s">
        <v>22</v>
      </c>
      <c r="B5" s="29"/>
      <c r="C5" s="28">
        <v>54.22</v>
      </c>
      <c r="D5" s="29"/>
      <c r="F5" s="30" t="s">
        <v>22</v>
      </c>
      <c r="G5" s="29">
        <f>VLOOKUP(F5,[1]Banking!A1:E8,2,0)</f>
        <v>13.55</v>
      </c>
      <c r="H5" s="29">
        <f>VLOOKUP(F5,[1]Banking!A1:E8,4,0)</f>
        <v>6.78</v>
      </c>
      <c r="J5" s="34" t="s">
        <v>66</v>
      </c>
      <c r="K5" s="33">
        <v>46.725760360591394</v>
      </c>
      <c r="L5" s="33">
        <v>65.441784252073035</v>
      </c>
    </row>
    <row r="6" spans="1:12" x14ac:dyDescent="0.35">
      <c r="A6" s="15" t="s">
        <v>19</v>
      </c>
      <c r="B6" s="29"/>
      <c r="C6" s="28">
        <v>53.59</v>
      </c>
      <c r="D6" s="29"/>
      <c r="F6" s="30" t="s">
        <v>19</v>
      </c>
      <c r="G6" s="29">
        <f>VLOOKUP(F6,[1]Banking!A1:E8,2,0)</f>
        <v>17.97</v>
      </c>
      <c r="H6" s="29">
        <f>VLOOKUP(F6,[1]Banking!A1:E8,4,0)</f>
        <v>7.88</v>
      </c>
      <c r="J6" s="35" t="s">
        <v>73</v>
      </c>
      <c r="K6" s="33">
        <v>43.944046086609504</v>
      </c>
      <c r="L6" s="33">
        <v>49.619640323355974</v>
      </c>
    </row>
    <row r="7" spans="1:12" x14ac:dyDescent="0.35">
      <c r="A7" s="15" t="s">
        <v>28</v>
      </c>
      <c r="B7" s="28">
        <v>50.649841128628026</v>
      </c>
      <c r="C7" s="29"/>
      <c r="D7" s="29"/>
      <c r="F7" s="30" t="s">
        <v>28</v>
      </c>
      <c r="G7" s="28">
        <f>VLOOKUP(F7,'[1]Con. D'!A1:F8,3,0)</f>
        <v>11.180757709251099</v>
      </c>
      <c r="H7" s="29">
        <f>VLOOKUP(F7,'[1]Con. D'!A1:E8,4,0)</f>
        <v>25.32</v>
      </c>
    </row>
    <row r="8" spans="1:12" x14ac:dyDescent="0.35">
      <c r="A8" s="15" t="s">
        <v>51</v>
      </c>
      <c r="B8" s="29"/>
      <c r="C8" s="29"/>
      <c r="D8" s="28">
        <v>49.619640323355974</v>
      </c>
      <c r="F8" s="30" t="s">
        <v>51</v>
      </c>
      <c r="G8" s="29">
        <f>VLOOKUP(F8,'[1]Auto. M'!A1:E8,2,0)</f>
        <v>22.77</v>
      </c>
      <c r="H8" s="29">
        <f>VLOOKUP(F8,'[1]Auto. M'!A1:E8,4,0)</f>
        <v>22.77</v>
      </c>
    </row>
    <row r="9" spans="1:12" x14ac:dyDescent="0.35">
      <c r="A9" s="15" t="s">
        <v>40</v>
      </c>
      <c r="B9" s="29"/>
      <c r="C9" s="29"/>
      <c r="D9" s="28">
        <v>48.215869155547821</v>
      </c>
      <c r="F9" s="30" t="s">
        <v>40</v>
      </c>
      <c r="G9" s="29">
        <f>VLOOKUP(F9,'[1]Auto. M'!A1:E8,2,0)</f>
        <v>28.08</v>
      </c>
      <c r="H9" s="29">
        <f>VLOOKUP(F9,'[1]Auto. M'!A1:E8,4,0)</f>
        <v>19.97</v>
      </c>
    </row>
    <row r="10" spans="1:12" x14ac:dyDescent="0.35">
      <c r="A10" s="15" t="s">
        <v>31</v>
      </c>
      <c r="B10" s="28">
        <v>47.775487161130336</v>
      </c>
      <c r="C10" s="29"/>
      <c r="D10" s="29"/>
      <c r="F10" s="30" t="s">
        <v>31</v>
      </c>
      <c r="G10" s="29">
        <f>VLOOKUP(F10,'[1]Con. D'!A1:E8,2,0)</f>
        <v>13.35</v>
      </c>
      <c r="H10" s="29">
        <f>VLOOKUP(F10,'[1]Con. D'!A1:E8,4,0)</f>
        <v>17.64</v>
      </c>
    </row>
    <row r="12" spans="1:12" x14ac:dyDescent="0.35">
      <c r="A12" s="25" t="s">
        <v>61</v>
      </c>
      <c r="B12" s="26" t="s">
        <v>65</v>
      </c>
      <c r="C12" s="26" t="s">
        <v>66</v>
      </c>
      <c r="D12" s="26" t="s">
        <v>67</v>
      </c>
      <c r="F12" s="25" t="s">
        <v>61</v>
      </c>
      <c r="G12" s="36" t="s">
        <v>74</v>
      </c>
      <c r="H12" s="36" t="s">
        <v>75</v>
      </c>
    </row>
    <row r="13" spans="1:12" x14ac:dyDescent="0.35">
      <c r="A13" s="30" t="s">
        <v>32</v>
      </c>
      <c r="B13" s="29">
        <f>VLOOKUP(A13,'[1]Con. D'!A1:K8,10,0)</f>
        <v>0.12</v>
      </c>
      <c r="C13" s="29"/>
      <c r="D13" s="29"/>
      <c r="F13" s="30" t="s">
        <v>32</v>
      </c>
      <c r="G13" s="29">
        <f>VLOOKUP(F13,'[1]Con. D'!A1:S8,14,0)</f>
        <v>52.42</v>
      </c>
      <c r="H13" s="29">
        <f>VLOOKUP(F13,'[1]Con. D'!A1:S8,18,0)</f>
        <v>52.09</v>
      </c>
    </row>
    <row r="14" spans="1:12" x14ac:dyDescent="0.35">
      <c r="A14" s="30" t="s">
        <v>28</v>
      </c>
      <c r="B14" s="29">
        <f>VLOOKUP(A14,'[1]Con. D'!A2:K9,10,0)</f>
        <v>0.04</v>
      </c>
      <c r="C14" s="29"/>
      <c r="D14" s="29"/>
      <c r="F14" s="30" t="s">
        <v>28</v>
      </c>
      <c r="G14" s="29">
        <f>VLOOKUP(F14,'[1]Con. D'!A2:S9,14,0)</f>
        <v>8.17</v>
      </c>
      <c r="H14" s="29">
        <f>VLOOKUP(F14,'[1]Con. D'!A2:S9,18,0)</f>
        <v>7.37</v>
      </c>
    </row>
    <row r="15" spans="1:12" x14ac:dyDescent="0.35">
      <c r="A15" s="30" t="s">
        <v>31</v>
      </c>
      <c r="B15" s="29">
        <f>VLOOKUP(A15,'[1]Con. D'!A3:K10,10,0)</f>
        <v>0.14000000000000001</v>
      </c>
      <c r="C15" s="29"/>
      <c r="D15" s="29"/>
      <c r="F15" s="30" t="s">
        <v>31</v>
      </c>
      <c r="G15" s="29">
        <f>VLOOKUP(F15,'[1]Con. D'!A3:S10,14,0)</f>
        <v>10.37</v>
      </c>
      <c r="H15" s="29">
        <f>VLOOKUP(F15,'[1]Con. D'!A3:S10,18,0)</f>
        <v>17.71</v>
      </c>
    </row>
    <row r="16" spans="1:12" x14ac:dyDescent="0.35">
      <c r="A16" s="30" t="s">
        <v>20</v>
      </c>
      <c r="B16" s="29"/>
      <c r="C16" s="29">
        <f>VLOOKUP(A16,[1]Banking!A1:K9,10,0)</f>
        <v>3.76</v>
      </c>
      <c r="D16" s="29"/>
      <c r="F16" s="30" t="s">
        <v>20</v>
      </c>
      <c r="G16" s="29">
        <f>VLOOKUP(F16,[1]Banking!A1:S8,14,0)</f>
        <v>6.06</v>
      </c>
      <c r="H16" s="29">
        <f>VLOOKUP(F16,[1]Banking!A1:S8,18,0)</f>
        <v>22.32</v>
      </c>
    </row>
    <row r="17" spans="1:8" x14ac:dyDescent="0.35">
      <c r="A17" s="30" t="s">
        <v>19</v>
      </c>
      <c r="B17" s="29"/>
      <c r="C17" s="29">
        <f>VLOOKUP(A17,[1]Banking!A2:K10,10,0)</f>
        <v>5.97</v>
      </c>
      <c r="D17" s="29"/>
      <c r="F17" s="30" t="s">
        <v>19</v>
      </c>
      <c r="G17" s="29">
        <f>VLOOKUP(F17,[1]Banking!A2:S9,14,0)</f>
        <v>22.81</v>
      </c>
      <c r="H17" s="29">
        <f>VLOOKUP(F17,[1]Banking!A2:S9,18,0)</f>
        <v>26.67</v>
      </c>
    </row>
    <row r="18" spans="1:8" x14ac:dyDescent="0.35">
      <c r="A18" s="30" t="s">
        <v>22</v>
      </c>
      <c r="B18" s="29"/>
      <c r="C18" s="29">
        <f>VLOOKUP(A18,[1]Banking!A3:K11,10,0)</f>
        <v>5.35</v>
      </c>
      <c r="D18" s="29"/>
      <c r="F18" s="30" t="s">
        <v>22</v>
      </c>
      <c r="G18" s="29">
        <f>VLOOKUP(F18,[1]Banking!A3:S10,14,0)</f>
        <v>40.08</v>
      </c>
      <c r="H18" s="29">
        <f>VLOOKUP(F18,[1]Banking!A3:S10,18,0)</f>
        <v>44.43</v>
      </c>
    </row>
    <row r="19" spans="1:8" x14ac:dyDescent="0.35">
      <c r="A19" s="30" t="s">
        <v>42</v>
      </c>
      <c r="B19" s="29"/>
      <c r="C19" s="29"/>
      <c r="D19" s="29">
        <f>VLOOKUP(A19,'[1]Auto. M'!A1:K8,10,0)</f>
        <v>0.01</v>
      </c>
      <c r="F19" s="30" t="s">
        <v>42</v>
      </c>
      <c r="G19" s="29">
        <f>VLOOKUP(F19,'[1]Auto. M'!A1:S8,14,0)</f>
        <v>163.27000000000001</v>
      </c>
      <c r="H19" s="29">
        <f>VLOOKUP(F19,'[1]Auto. M'!A1:S8,18,0)</f>
        <v>99.69</v>
      </c>
    </row>
    <row r="20" spans="1:8" x14ac:dyDescent="0.35">
      <c r="A20" s="30" t="s">
        <v>40</v>
      </c>
      <c r="B20" s="29"/>
      <c r="C20" s="29"/>
      <c r="D20" s="29">
        <f>VLOOKUP(A20,'[1]Auto. M'!A2:K9,10,0)</f>
        <v>0.62</v>
      </c>
      <c r="F20" s="30" t="s">
        <v>40</v>
      </c>
      <c r="G20" s="29">
        <f>VLOOKUP(F20,'[1]Auto. M'!A2:S9,14,0)</f>
        <v>15.93</v>
      </c>
      <c r="H20" s="29">
        <f>VLOOKUP(F20,'[1]Auto. M'!A2:S9,18,0)</f>
        <v>65.489999999999995</v>
      </c>
    </row>
    <row r="21" spans="1:8" x14ac:dyDescent="0.35">
      <c r="A21" s="30" t="s">
        <v>51</v>
      </c>
      <c r="B21" s="29"/>
      <c r="C21" s="29"/>
      <c r="D21" s="29">
        <f>VLOOKUP(A21,'[1]Auto. M'!A3:K10,10,0)</f>
        <v>0.27</v>
      </c>
      <c r="F21" s="30" t="s">
        <v>51</v>
      </c>
      <c r="G21" s="29">
        <f>VLOOKUP(F21,'[1]Auto. M'!A3:S10,14,0)</f>
        <v>27.26</v>
      </c>
      <c r="H21" s="29">
        <f>VLOOKUP(F21,'[1]Auto. M'!A3:S10,18,0)</f>
        <v>10.38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786B6-6382-4827-BA51-B5D6F57531D5}">
  <dimension ref="A1:U11"/>
  <sheetViews>
    <sheetView zoomScaleNormal="100" workbookViewId="0"/>
  </sheetViews>
  <sheetFormatPr defaultRowHeight="14.5" x14ac:dyDescent="0.35"/>
  <cols>
    <col min="1" max="1" width="16.1796875" bestFit="1" customWidth="1"/>
    <col min="3" max="3" width="11.81640625" style="24" bestFit="1" customWidth="1"/>
    <col min="5" max="5" width="16.453125" style="24" bestFit="1" customWidth="1"/>
    <col min="6" max="6" width="8.7265625" customWidth="1"/>
    <col min="7" max="7" width="11.81640625" style="24" bestFit="1" customWidth="1"/>
    <col min="8" max="8" width="13" bestFit="1" customWidth="1"/>
    <col min="9" max="9" width="20.6328125" style="24" bestFit="1" customWidth="1"/>
    <col min="10" max="10" width="17.6328125" bestFit="1" customWidth="1"/>
    <col min="11" max="11" width="18.1796875" style="24" bestFit="1" customWidth="1"/>
    <col min="12" max="12" width="20.6328125" bestFit="1" customWidth="1"/>
    <col min="13" max="13" width="20.08984375" style="24" bestFit="1" customWidth="1"/>
    <col min="14" max="14" width="16.453125" bestFit="1" customWidth="1"/>
    <col min="15" max="15" width="11.81640625" style="24" bestFit="1" customWidth="1"/>
    <col min="16" max="16" width="17.6328125" bestFit="1" customWidth="1"/>
    <col min="17" max="17" width="11.81640625" style="24" bestFit="1" customWidth="1"/>
    <col min="18" max="18" width="18.1796875" bestFit="1" customWidth="1"/>
    <col min="19" max="19" width="11.81640625" style="24" bestFit="1" customWidth="1"/>
    <col min="20" max="20" width="20.08984375" bestFit="1" customWidth="1"/>
  </cols>
  <sheetData>
    <row r="1" spans="1:21" x14ac:dyDescent="0.35">
      <c r="A1" s="38" t="s">
        <v>61</v>
      </c>
      <c r="B1" s="39" t="s">
        <v>57</v>
      </c>
      <c r="C1" s="40" t="s">
        <v>62</v>
      </c>
      <c r="D1" s="39" t="s">
        <v>54</v>
      </c>
      <c r="E1" s="41" t="s">
        <v>62</v>
      </c>
      <c r="F1" s="39" t="s">
        <v>49</v>
      </c>
      <c r="G1" s="41" t="s">
        <v>62</v>
      </c>
      <c r="H1" s="42" t="s">
        <v>45</v>
      </c>
      <c r="I1" s="41" t="s">
        <v>62</v>
      </c>
      <c r="J1" s="43" t="s">
        <v>47</v>
      </c>
      <c r="K1" s="41" t="s">
        <v>62</v>
      </c>
      <c r="L1" s="43" t="s">
        <v>48</v>
      </c>
      <c r="M1" s="41" t="s">
        <v>62</v>
      </c>
      <c r="N1" s="44" t="s">
        <v>50</v>
      </c>
      <c r="O1" s="41" t="s">
        <v>62</v>
      </c>
      <c r="P1" s="44" t="s">
        <v>52</v>
      </c>
      <c r="Q1" s="41" t="s">
        <v>62</v>
      </c>
      <c r="R1" s="44" t="s">
        <v>53</v>
      </c>
      <c r="S1" s="41" t="s">
        <v>62</v>
      </c>
      <c r="T1" s="38" t="s">
        <v>59</v>
      </c>
      <c r="U1" s="38" t="s">
        <v>60</v>
      </c>
    </row>
    <row r="2" spans="1:21" x14ac:dyDescent="0.35">
      <c r="A2" s="45" t="s">
        <v>62</v>
      </c>
      <c r="B2" s="46">
        <v>40</v>
      </c>
      <c r="C2" s="47"/>
      <c r="D2" s="48"/>
      <c r="E2" s="47"/>
      <c r="F2" s="48"/>
      <c r="G2" s="47"/>
      <c r="H2" s="46">
        <v>20</v>
      </c>
      <c r="I2" s="47"/>
      <c r="J2" s="46">
        <v>10</v>
      </c>
      <c r="K2" s="47"/>
      <c r="L2" s="48"/>
      <c r="M2" s="47"/>
      <c r="N2" s="46">
        <v>30</v>
      </c>
      <c r="O2" s="47"/>
      <c r="P2" s="48"/>
      <c r="Q2" s="47"/>
      <c r="R2" s="48"/>
      <c r="S2" s="47"/>
      <c r="T2" s="49"/>
      <c r="U2" s="49"/>
    </row>
    <row r="3" spans="1:21" x14ac:dyDescent="0.35">
      <c r="A3" s="45" t="s">
        <v>63</v>
      </c>
      <c r="B3" s="48">
        <v>13.33</v>
      </c>
      <c r="C3" s="47"/>
      <c r="D3" s="48">
        <v>13.33</v>
      </c>
      <c r="E3" s="47"/>
      <c r="F3" s="48">
        <v>13.34</v>
      </c>
      <c r="G3" s="47"/>
      <c r="H3" s="48">
        <v>20</v>
      </c>
      <c r="I3" s="47"/>
      <c r="J3" s="48">
        <v>5</v>
      </c>
      <c r="K3" s="47"/>
      <c r="L3" s="48">
        <v>5</v>
      </c>
      <c r="M3" s="47"/>
      <c r="N3" s="48">
        <v>10</v>
      </c>
      <c r="O3" s="47"/>
      <c r="P3" s="48">
        <v>10</v>
      </c>
      <c r="Q3" s="47"/>
      <c r="R3" s="48">
        <v>10</v>
      </c>
      <c r="S3" s="47"/>
      <c r="T3" s="49"/>
      <c r="U3" s="49"/>
    </row>
    <row r="4" spans="1:21" x14ac:dyDescent="0.35">
      <c r="A4" s="38" t="s">
        <v>31</v>
      </c>
      <c r="B4" s="49">
        <f>VLOOKUP(A4,Data2!B1:O28,14,FALSE)</f>
        <v>13.35</v>
      </c>
      <c r="C4" s="50">
        <f>(B4 - MIN($B$4:$B$8)) / (MAX($B$4:$B$8) - MIN($B$4:$B$8))*$B$3</f>
        <v>4.7917533039647573</v>
      </c>
      <c r="D4" s="49">
        <f>VLOOKUP(A4,Data2!B1:R29,10,FALSE)</f>
        <v>17.64</v>
      </c>
      <c r="E4" s="50">
        <f>(D4 - MIN($D$4:$D$8)) / (MAX($D$4:$D$8) - MIN($D$4:$D$8))*$D$3</f>
        <v>4.6922407267221811</v>
      </c>
      <c r="F4" s="49">
        <f>VLOOKUP(A4,Data2!B1:R29,11,FALSE)</f>
        <v>25.43</v>
      </c>
      <c r="G4" s="50">
        <f>(F4 - MIN($F$4:$F$8)) / (MAX($F$4:$F$8) - MIN($F$4:$F$8))*$F$3</f>
        <v>11.137672799602187</v>
      </c>
      <c r="H4" s="49">
        <f>VLOOKUP(A4,Data2!B1:R29,3,FALSE)</f>
        <v>54.95</v>
      </c>
      <c r="I4" s="50">
        <f>(MAX($H$4:$H$8) - H4) / (MAX($H$4:$H$8) - MIN($H$4:$H$8))*$H$3</f>
        <v>9.8005884275907142</v>
      </c>
      <c r="J4" s="49">
        <f>VLOOKUP(A4,Data2!B1:R29,12,FALSE)</f>
        <v>0.14000000000000001</v>
      </c>
      <c r="K4" s="50">
        <f t="shared" ref="K4:K8" si="0">(MAX($J$4:$J$8) - J4) / (MAX($J$4:$J$8) - MIN($J$4:$J$8))*$J$3</f>
        <v>0</v>
      </c>
      <c r="L4" s="49">
        <f>VLOOKUP(A4,Data2!B1:R29,13,FALSE)</f>
        <v>19.920000000000002</v>
      </c>
      <c r="M4" s="50">
        <f>(L4 - MIN($L$4:$L$8)) / (MAX($L$4:$L$8) - MIN($L$4:$L$8))*$L$3</f>
        <v>1.2480834099969338</v>
      </c>
      <c r="N4" s="49">
        <f>VLOOKUP(A4,Data2!B1:S29,18,FALSE)</f>
        <v>10.37</v>
      </c>
      <c r="O4" s="50">
        <f>(N4 - MIN($N$4:$N$8)) / (MAX($N$4:$N$8) - MIN($N$4:$N$8))*$N$3</f>
        <v>2.8668363019508054</v>
      </c>
      <c r="P4" s="49">
        <f>VLOOKUP(A4,Data2!B1:R29,15,FALSE)</f>
        <v>24.77</v>
      </c>
      <c r="Q4" s="50">
        <f>(P4 - MIN($P$4:$P$8)) / (MAX($P$4:$P$8) - MIN($P$4:$P$8))*$P$3</f>
        <v>9.6096984033116488</v>
      </c>
      <c r="R4" s="49">
        <f>VLOOKUP(A4,Data2!B1:R29,16,FALSE)</f>
        <v>17.71</v>
      </c>
      <c r="S4" s="50">
        <f>(R4 - MIN($R$4:$R$8)) / (MAX($R$4:$R$8) - MIN($R$4:$R$8))*$R$3</f>
        <v>3.6286137879911045</v>
      </c>
      <c r="T4" s="49">
        <f>SUM(C4+E4+G4+I4+K4+M4+O4+Q4+S4)</f>
        <v>47.775487161130336</v>
      </c>
      <c r="U4" s="49">
        <f>RANK(T4,$T$4:$T$8,0)</f>
        <v>3</v>
      </c>
    </row>
    <row r="5" spans="1:21" x14ac:dyDescent="0.35">
      <c r="A5" s="38" t="s">
        <v>28</v>
      </c>
      <c r="B5" s="49">
        <f>VLOOKUP(A5,Data2!B2:O29,14,FALSE)</f>
        <v>18.79</v>
      </c>
      <c r="C5" s="50">
        <f t="shared" ref="C5:C8" si="1">(B5 - MIN($B$4:$B$8)) / (MAX($B$4:$B$8) - MIN($B$4:$B$8))*$B$3</f>
        <v>11.180757709251099</v>
      </c>
      <c r="D5" s="49">
        <f>VLOOKUP(A5,Data2!B2:R30,10,FALSE)</f>
        <v>25.32</v>
      </c>
      <c r="E5" s="50">
        <f t="shared" ref="E5:E8" si="2">(D5 - MIN($D$4:$D$8)) / (MAX($D$4:$D$8) - MIN($D$4:$D$8))*$D$3</f>
        <v>12.442006056018169</v>
      </c>
      <c r="F5" s="49">
        <f>VLOOKUP(A5,Data2!B2:R30,11,FALSE)</f>
        <v>22.52</v>
      </c>
      <c r="G5" s="50">
        <f t="shared" ref="G5:G8" si="3">(F5 - MIN($F$4:$F$8)) / (MAX($F$4:$F$8) - MIN($F$4:$F$8))*$F$3</f>
        <v>9.207319741422177</v>
      </c>
      <c r="H5" s="49">
        <f>VLOOKUP(A5,Data2!B2:R30,3,FALSE)</f>
        <v>69.94</v>
      </c>
      <c r="I5" s="50">
        <f t="shared" ref="I5:I8" si="4">(MAX($H$4:$H$8) - H5) / (MAX($H$4:$H$8) - MIN($H$4:$H$8))*$H$3</f>
        <v>0</v>
      </c>
      <c r="J5" s="49">
        <f>VLOOKUP(A5,Data2!B2:R30,12,FALSE)</f>
        <v>0.04</v>
      </c>
      <c r="K5" s="50">
        <f t="shared" si="0"/>
        <v>4.1666666666666661</v>
      </c>
      <c r="L5" s="49">
        <f>VLOOKUP(A5,Data2!B2:R30,13,FALSE)</f>
        <v>44.39</v>
      </c>
      <c r="M5" s="50">
        <f t="shared" ref="M5:M8" si="5">(L5 - MIN($L$4:$L$8)) / (MAX($L$4:$L$8) - MIN($L$4:$L$8))*$L$3</f>
        <v>5</v>
      </c>
      <c r="N5" s="49">
        <f>VLOOKUP(A5,Data2!B2:S30,18,FALSE)</f>
        <v>8.17</v>
      </c>
      <c r="O5" s="50">
        <f t="shared" ref="O5:O8" si="6">(N5 - MIN($N$4:$N$8)) / (MAX($N$4:$N$8) - MIN($N$4:$N$8))*$N$3</f>
        <v>2.4936386768447836</v>
      </c>
      <c r="P5" s="49">
        <f>VLOOKUP(A5,Data2!B2:R30,15,FALSE)</f>
        <v>16.04</v>
      </c>
      <c r="Q5" s="50">
        <f t="shared" ref="Q5:Q8" si="7">(P5 - MIN($P$4:$P$8)) / (MAX($P$4:$P$8) - MIN($P$4:$P$8))*$P$3</f>
        <v>4.4470727380248372</v>
      </c>
      <c r="R5" s="49">
        <f>VLOOKUP(A5,Data2!B2:R30,16,FALSE)</f>
        <v>7.37</v>
      </c>
      <c r="S5" s="50">
        <f t="shared" ref="S5:S8" si="8">(R5 - MIN($R$4:$R$8)) / (MAX($R$4:$R$8) - MIN($R$4:$R$8))*$R$3</f>
        <v>1.7123795404002964</v>
      </c>
      <c r="T5" s="49">
        <f t="shared" ref="T5:T8" si="9">SUM(C5+E5+G5+I5+K5+M5+O5+Q5+S5)</f>
        <v>50.649841128628026</v>
      </c>
      <c r="U5" s="49">
        <f t="shared" ref="U5:U8" si="10">RANK(T5,$T$4:$T$8,0)</f>
        <v>2</v>
      </c>
    </row>
    <row r="6" spans="1:21" x14ac:dyDescent="0.35">
      <c r="A6" s="38" t="s">
        <v>35</v>
      </c>
      <c r="B6" s="49">
        <f>VLOOKUP(A6,Data2!B3:O30,14,FALSE)</f>
        <v>17.399999999999999</v>
      </c>
      <c r="C6" s="50">
        <f t="shared" si="1"/>
        <v>9.5482731277533013</v>
      </c>
      <c r="D6" s="49">
        <f>VLOOKUP(A6,Data2!B3:R31,10,FALSE)</f>
        <v>19.010000000000002</v>
      </c>
      <c r="E6" s="50">
        <f t="shared" si="2"/>
        <v>6.0746858440575338</v>
      </c>
      <c r="F6" s="49">
        <f>VLOOKUP(A6,Data2!B3:R31,11,FALSE)</f>
        <v>8.64</v>
      </c>
      <c r="G6" s="50">
        <f t="shared" si="3"/>
        <v>0</v>
      </c>
      <c r="H6" s="49">
        <f>VLOOKUP(A6,Data2!B3:R31,3,FALSE)</f>
        <v>39.35</v>
      </c>
      <c r="I6" s="50">
        <f t="shared" si="4"/>
        <v>20</v>
      </c>
      <c r="J6" s="49">
        <f>VLOOKUP(A6,Data2!B3:R31,12,FALSE)</f>
        <v>0.14000000000000001</v>
      </c>
      <c r="K6" s="50">
        <f t="shared" si="0"/>
        <v>0</v>
      </c>
      <c r="L6" s="49">
        <f>VLOOKUP(A6,Data2!B3:R31,13,FALSE)</f>
        <v>16.760000000000002</v>
      </c>
      <c r="M6" s="50">
        <f t="shared" si="5"/>
        <v>0.76356945722171155</v>
      </c>
      <c r="N6" s="49">
        <f>VLOOKUP(A6,Data2!B3:S31,18,FALSE)</f>
        <v>-3.78</v>
      </c>
      <c r="O6" s="50">
        <f t="shared" si="6"/>
        <v>0.46649703138252763</v>
      </c>
      <c r="P6" s="49">
        <f>VLOOKUP(A6,Data2!B3:R31,15,FALSE)</f>
        <v>13.39</v>
      </c>
      <c r="Q6" s="50">
        <f t="shared" si="7"/>
        <v>2.8799526907155535</v>
      </c>
      <c r="R6" s="49">
        <f>VLOOKUP(A6,Data2!B3:R31,16,FALSE)</f>
        <v>-1.87</v>
      </c>
      <c r="S6" s="50">
        <f t="shared" si="8"/>
        <v>0</v>
      </c>
      <c r="T6" s="49">
        <f t="shared" si="9"/>
        <v>39.732978151130631</v>
      </c>
      <c r="U6" s="49">
        <f t="shared" si="10"/>
        <v>4</v>
      </c>
    </row>
    <row r="7" spans="1:21" x14ac:dyDescent="0.35">
      <c r="A7" s="38" t="s">
        <v>36</v>
      </c>
      <c r="B7" s="49">
        <f>VLOOKUP(A7,Data2!B4:O31,14,FALSE)</f>
        <v>9.27</v>
      </c>
      <c r="C7" s="50">
        <f t="shared" si="1"/>
        <v>0</v>
      </c>
      <c r="D7" s="49">
        <f>VLOOKUP(A7,Data2!B4:R32,10,FALSE)</f>
        <v>12.99</v>
      </c>
      <c r="E7" s="50">
        <f t="shared" si="2"/>
        <v>0</v>
      </c>
      <c r="F7" s="49">
        <f>VLOOKUP(A7,Data2!B4:R32,11,FALSE)</f>
        <v>28.3</v>
      </c>
      <c r="G7" s="50">
        <f t="shared" si="3"/>
        <v>13.041491795126802</v>
      </c>
      <c r="H7" s="49">
        <f>VLOOKUP(A7,Data2!B4:R32,3,FALSE)</f>
        <v>51.91</v>
      </c>
      <c r="I7" s="50">
        <f t="shared" si="4"/>
        <v>11.788166067342271</v>
      </c>
      <c r="J7" s="49">
        <f>VLOOKUP(A7,Data2!B4:R32,12,FALSE)</f>
        <v>0.02</v>
      </c>
      <c r="K7" s="50">
        <f t="shared" si="0"/>
        <v>5</v>
      </c>
      <c r="L7" s="49">
        <f>VLOOKUP(A7,Data2!B4:R32,13,FALSE)</f>
        <v>11.78</v>
      </c>
      <c r="M7" s="50">
        <f t="shared" si="5"/>
        <v>0</v>
      </c>
      <c r="N7" s="49">
        <f>VLOOKUP(A7,Data2!B4:S32,18,FALSE)</f>
        <v>-6.53</v>
      </c>
      <c r="O7" s="50">
        <f t="shared" si="6"/>
        <v>0</v>
      </c>
      <c r="P7" s="49">
        <f>VLOOKUP(A7,Data2!B4:R32,15,FALSE)</f>
        <v>8.52</v>
      </c>
      <c r="Q7" s="50">
        <f t="shared" si="7"/>
        <v>0</v>
      </c>
      <c r="R7" s="49">
        <f>VLOOKUP(A7,Data2!B4:R32,16,FALSE)</f>
        <v>7.26</v>
      </c>
      <c r="S7" s="50">
        <f t="shared" si="8"/>
        <v>1.6919940696812452</v>
      </c>
      <c r="T7" s="49">
        <f t="shared" si="9"/>
        <v>31.52165193215032</v>
      </c>
      <c r="U7" s="49">
        <f t="shared" si="10"/>
        <v>5</v>
      </c>
    </row>
    <row r="8" spans="1:21" x14ac:dyDescent="0.35">
      <c r="A8" s="38" t="s">
        <v>32</v>
      </c>
      <c r="B8" s="49">
        <f>VLOOKUP(A8,Data2!B5:O32,14,FALSE)</f>
        <v>20.62</v>
      </c>
      <c r="C8" s="50">
        <f t="shared" si="1"/>
        <v>13.33</v>
      </c>
      <c r="D8" s="49">
        <f>VLOOKUP(A8,Data2!B5:R33,10,FALSE)</f>
        <v>26.2</v>
      </c>
      <c r="E8" s="50">
        <f t="shared" si="2"/>
        <v>13.33</v>
      </c>
      <c r="F8" s="49">
        <f>VLOOKUP(A8,Data2!B5:R33,11,FALSE)</f>
        <v>28.75</v>
      </c>
      <c r="G8" s="50">
        <f t="shared" si="3"/>
        <v>13.34</v>
      </c>
      <c r="H8" s="49">
        <f>VLOOKUP(A8,Data2!B5:R33,3,FALSE)</f>
        <v>61.47</v>
      </c>
      <c r="I8" s="50">
        <f t="shared" si="4"/>
        <v>5.5377574370709386</v>
      </c>
      <c r="J8" s="49">
        <f>VLOOKUP(A8,Data2!B5:R33,12,FALSE)</f>
        <v>0.12</v>
      </c>
      <c r="K8" s="50">
        <f t="shared" si="0"/>
        <v>0.83333333333333393</v>
      </c>
      <c r="L8" s="49">
        <f>VLOOKUP(A8,Data2!B5:R33,13,FALSE)</f>
        <v>16.920000000000002</v>
      </c>
      <c r="M8" s="50">
        <f t="shared" si="5"/>
        <v>0.78810180926096329</v>
      </c>
      <c r="N8" s="49">
        <f>VLOOKUP(A8,Data2!B5:S33,18,FALSE)</f>
        <v>52.42</v>
      </c>
      <c r="O8" s="50">
        <f t="shared" si="6"/>
        <v>10</v>
      </c>
      <c r="P8" s="49">
        <f>VLOOKUP(A8,Data2!B5:R33,15,FALSE)</f>
        <v>25.43</v>
      </c>
      <c r="Q8" s="50">
        <f t="shared" si="7"/>
        <v>10</v>
      </c>
      <c r="R8" s="49">
        <f>VLOOKUP(A8,Data2!B5:R33,16,FALSE)</f>
        <v>52.09</v>
      </c>
      <c r="S8" s="50">
        <f t="shared" si="8"/>
        <v>10</v>
      </c>
      <c r="T8" s="49">
        <f t="shared" si="9"/>
        <v>77.159192579665245</v>
      </c>
      <c r="U8" s="49">
        <f t="shared" si="10"/>
        <v>1</v>
      </c>
    </row>
    <row r="9" spans="1:21" x14ac:dyDescent="0.35">
      <c r="T9" s="51">
        <f>AVERAGE(T4:T8)</f>
        <v>49.367830190540914</v>
      </c>
    </row>
    <row r="10" spans="1:21" x14ac:dyDescent="0.35">
      <c r="H10" s="22" t="s">
        <v>45</v>
      </c>
      <c r="J10" s="23" t="s">
        <v>47</v>
      </c>
    </row>
    <row r="11" spans="1:21" x14ac:dyDescent="0.35">
      <c r="H11" t="s">
        <v>64</v>
      </c>
      <c r="J11" t="s">
        <v>64</v>
      </c>
    </row>
  </sheetData>
  <conditionalFormatting sqref="U4:U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77CB-E21D-442D-8194-6812A465A28B}">
  <dimension ref="A1:U12"/>
  <sheetViews>
    <sheetView zoomScaleNormal="100" workbookViewId="0"/>
  </sheetViews>
  <sheetFormatPr defaultRowHeight="14.5" x14ac:dyDescent="0.35"/>
  <cols>
    <col min="1" max="1" width="15.26953125" bestFit="1" customWidth="1"/>
    <col min="3" max="3" width="15.453125" style="24" bestFit="1" customWidth="1"/>
    <col min="5" max="5" width="13" style="24" bestFit="1" customWidth="1"/>
    <col min="7" max="7" width="12.453125" style="24" bestFit="1" customWidth="1"/>
    <col min="8" max="8" width="13" bestFit="1" customWidth="1"/>
    <col min="9" max="9" width="13" customWidth="1"/>
    <col min="10" max="10" width="20.6328125" bestFit="1" customWidth="1"/>
    <col min="11" max="11" width="20.6328125" style="24" customWidth="1"/>
    <col min="12" max="13" width="20.6328125" customWidth="1"/>
    <col min="14" max="14" width="17.6328125" bestFit="1" customWidth="1"/>
    <col min="15" max="15" width="17.6328125" customWidth="1"/>
    <col min="16" max="16" width="18.1796875" bestFit="1" customWidth="1"/>
    <col min="17" max="18" width="18.1796875" customWidth="1"/>
    <col min="19" max="19" width="18.1796875" style="24" customWidth="1"/>
    <col min="20" max="20" width="20.08984375" bestFit="1" customWidth="1"/>
  </cols>
  <sheetData>
    <row r="1" spans="1:21" x14ac:dyDescent="0.35">
      <c r="A1" s="38" t="s">
        <v>61</v>
      </c>
      <c r="B1" s="39" t="s">
        <v>57</v>
      </c>
      <c r="C1" s="40" t="s">
        <v>62</v>
      </c>
      <c r="D1" s="39" t="s">
        <v>54</v>
      </c>
      <c r="E1" s="41" t="s">
        <v>62</v>
      </c>
      <c r="F1" s="39" t="s">
        <v>49</v>
      </c>
      <c r="G1" s="41" t="s">
        <v>62</v>
      </c>
      <c r="H1" s="42" t="s">
        <v>45</v>
      </c>
      <c r="I1" s="52" t="s">
        <v>62</v>
      </c>
      <c r="J1" s="43" t="s">
        <v>47</v>
      </c>
      <c r="K1" s="52" t="s">
        <v>62</v>
      </c>
      <c r="L1" s="43" t="s">
        <v>48</v>
      </c>
      <c r="M1" s="52" t="s">
        <v>62</v>
      </c>
      <c r="N1" s="44" t="s">
        <v>50</v>
      </c>
      <c r="O1" s="52" t="s">
        <v>62</v>
      </c>
      <c r="P1" s="44" t="s">
        <v>52</v>
      </c>
      <c r="Q1" s="52" t="s">
        <v>62</v>
      </c>
      <c r="R1" s="44" t="s">
        <v>53</v>
      </c>
      <c r="S1" s="52" t="s">
        <v>62</v>
      </c>
      <c r="T1" s="38" t="s">
        <v>59</v>
      </c>
      <c r="U1" s="38" t="s">
        <v>60</v>
      </c>
    </row>
    <row r="2" spans="1:21" x14ac:dyDescent="0.35">
      <c r="A2" s="45" t="s">
        <v>62</v>
      </c>
      <c r="B2" s="46">
        <v>35</v>
      </c>
      <c r="C2" s="47"/>
      <c r="D2" s="48"/>
      <c r="E2" s="47"/>
      <c r="F2" s="48"/>
      <c r="G2" s="47"/>
      <c r="H2" s="46">
        <v>20</v>
      </c>
      <c r="I2" s="48"/>
      <c r="J2" s="46">
        <v>30</v>
      </c>
      <c r="K2" s="47"/>
      <c r="L2" s="48"/>
      <c r="M2" s="48"/>
      <c r="N2" s="46">
        <v>15</v>
      </c>
      <c r="O2" s="48"/>
      <c r="P2" s="48"/>
      <c r="Q2" s="48"/>
      <c r="R2" s="48"/>
      <c r="S2" s="47"/>
      <c r="T2" s="49"/>
      <c r="U2" s="49"/>
    </row>
    <row r="3" spans="1:21" x14ac:dyDescent="0.35">
      <c r="A3" s="45" t="s">
        <v>63</v>
      </c>
      <c r="B3" s="48">
        <v>11.67</v>
      </c>
      <c r="C3" s="47"/>
      <c r="D3" s="48">
        <v>11.66</v>
      </c>
      <c r="E3" s="47"/>
      <c r="F3" s="48">
        <v>11.67</v>
      </c>
      <c r="G3" s="47"/>
      <c r="H3" s="48">
        <v>20</v>
      </c>
      <c r="I3" s="48"/>
      <c r="J3" s="48">
        <v>15</v>
      </c>
      <c r="K3" s="47"/>
      <c r="L3" s="48">
        <v>15</v>
      </c>
      <c r="M3" s="48"/>
      <c r="N3" s="48">
        <v>5</v>
      </c>
      <c r="O3" s="48"/>
      <c r="P3" s="48">
        <v>5</v>
      </c>
      <c r="Q3" s="48"/>
      <c r="R3" s="48">
        <v>5</v>
      </c>
      <c r="S3" s="47"/>
      <c r="T3" s="49"/>
      <c r="U3" s="49"/>
    </row>
    <row r="4" spans="1:21" x14ac:dyDescent="0.35">
      <c r="A4" s="38" t="s">
        <v>18</v>
      </c>
      <c r="B4" s="49">
        <f>VLOOKUP(A4,Data2!B1:O28,14,FALSE)</f>
        <v>14.45</v>
      </c>
      <c r="C4" s="50">
        <f>(B4 - MIN($B$4:$B$8)) / (MAX($B$4:$B$8) - MIN($B$4:$B$8))*$B$3</f>
        <v>2.3762443438914</v>
      </c>
      <c r="D4" s="49">
        <f>VLOOKUP(A4,Data2!B1:R29,10,FALSE)</f>
        <v>7.51</v>
      </c>
      <c r="E4" s="50">
        <f>(D4 - MIN($D$4:$D$8)) / (MAX($D$4:$D$8) - MIN($D$4:$D$8))*$D$3</f>
        <v>6.1235971223021561</v>
      </c>
      <c r="F4" s="49">
        <f>VLOOKUP(A4,Data2!B1:R29,11,FALSE)</f>
        <v>92.26</v>
      </c>
      <c r="G4" s="50">
        <f>(F4 - MIN($F$4:$F$8)) / (MAX($F$4:$F$8) - MIN($F$4:$F$8))*$F$3</f>
        <v>9.5331761762724909</v>
      </c>
      <c r="H4" s="49">
        <f>VLOOKUP(A4,Data2!B1:R29,3,FALSE)</f>
        <v>22</v>
      </c>
      <c r="I4" s="50">
        <f>(MAX($H$4:$H$8) - H4) / (MAX($H$4:$H$8) - MIN($H$4:$H$8))*$H$3</f>
        <v>0</v>
      </c>
      <c r="J4" s="49">
        <f>VLOOKUP(A4,Data2!B1:R29,12,FALSE)</f>
        <v>6.41</v>
      </c>
      <c r="K4" s="50">
        <f>(MAX($J$4:$J$8) - J4) / (MAX($J$4:$J$8) - MIN($J$4:$J$8))*$J$3</f>
        <v>4.1689373297002703</v>
      </c>
      <c r="L4" s="49">
        <f>VLOOKUP(A4,Data2!B1:R29,13,FALSE)</f>
        <v>1.5</v>
      </c>
      <c r="M4" s="50">
        <f>(L4 - MIN($L$4:$L$8)) / (MAX($L$4:$L$8) - MIN($L$4:$L$8))*$L$3</f>
        <v>0</v>
      </c>
      <c r="N4" s="49">
        <f>VLOOKUP(A4,Data2!B1:S29,18,FALSE)</f>
        <v>12.98</v>
      </c>
      <c r="O4" s="50">
        <f>(N4 - MIN($N$4:$N$8)) / (MAX($N$4:$N$8) - MIN($N$4:$N$8))*$N$3</f>
        <v>1.017048794826573</v>
      </c>
      <c r="P4" s="49">
        <f>VLOOKUP(A4,Data2!B1:R29,15,FALSE)</f>
        <v>35.26</v>
      </c>
      <c r="Q4" s="50">
        <f>(P4 - MIN($P$4:$P$8)) / (MAX($P$4:$P$8) - MIN($P$4:$P$8))*$P$3</f>
        <v>5</v>
      </c>
      <c r="R4" s="49">
        <f>VLOOKUP(A4,Data2!B1:R29,16,FALSE)</f>
        <v>22.98</v>
      </c>
      <c r="S4" s="50">
        <f>(R4 - MIN($R$4:$R$8)) / (MAX($R$4:$R$8) - MIN($R$4:$R$8))*$R$3</f>
        <v>0.14925373134328362</v>
      </c>
      <c r="T4" s="49">
        <f>SUM(C4+E4+G4+I4+K4+M4+O4+Q4+S4)</f>
        <v>28.368257498336174</v>
      </c>
      <c r="U4" s="49">
        <f>RANK(T4,$T$4:$T$8,0)</f>
        <v>5</v>
      </c>
    </row>
    <row r="5" spans="1:21" x14ac:dyDescent="0.35">
      <c r="A5" s="38" t="s">
        <v>19</v>
      </c>
      <c r="B5" s="49">
        <f>VLOOKUP(A5,Data2!B2:O29,14,FALSE)</f>
        <v>17.97</v>
      </c>
      <c r="C5" s="50">
        <f t="shared" ref="C5:C8" si="0">(B5 - MIN($B$4:$B$8)) / (MAX($B$4:$B$8) - MIN($B$4:$B$8))*$B$3</f>
        <v>11.67</v>
      </c>
      <c r="D5" s="49">
        <f>VLOOKUP(A5,Data2!B2:R30,10,FALSE)</f>
        <v>7.88</v>
      </c>
      <c r="E5" s="50">
        <f t="shared" ref="E5:E8" si="1">(D5 - MIN($D$4:$D$8)) / (MAX($D$4:$D$8) - MIN($D$4:$D$8))*$D$3</f>
        <v>9.2273381294964025</v>
      </c>
      <c r="F5" s="49">
        <f>VLOOKUP(A5,Data2!B2:R30,11,FALSE)</f>
        <v>74.58</v>
      </c>
      <c r="G5" s="50">
        <f t="shared" ref="G5:G8" si="2">(F5 - MIN($F$4:$F$8)) / (MAX($F$4:$F$8) - MIN($F$4:$F$8))*$F$3</f>
        <v>7.5479399595881835</v>
      </c>
      <c r="H5" s="49">
        <f>VLOOKUP(A5,Data2!B2:R30,3,FALSE)</f>
        <v>20.09</v>
      </c>
      <c r="I5" s="50">
        <f t="shared" ref="I5:I8" si="3">(MAX($H$4:$H$8) - H5) / (MAX($H$4:$H$8) - MIN($H$4:$H$8))*$H$3</f>
        <v>3.9381443298969074</v>
      </c>
      <c r="J5" s="49">
        <f>VLOOKUP(A5,Data2!B2:R30,12,FALSE)</f>
        <v>5.97</v>
      </c>
      <c r="K5" s="50">
        <f t="shared" ref="K5:K8" si="4">(MAX($J$4:$J$8) - J5) / (MAX($J$4:$J$8) - MIN($J$4:$J$8))*$J$3</f>
        <v>5.9673024523160763</v>
      </c>
      <c r="L5" s="49">
        <f>VLOOKUP(A5,Data2!B2:R30,13,FALSE)</f>
        <v>1.83</v>
      </c>
      <c r="M5" s="50">
        <f t="shared" ref="M5:M8" si="5">(L5 - MIN($L$4:$L$8)) / (MAX($L$4:$L$8) - MIN($L$4:$L$8))*$L$3</f>
        <v>9.5192307692307701</v>
      </c>
      <c r="N5" s="49">
        <f>VLOOKUP(A5,Data2!B2:S30,18,FALSE)</f>
        <v>22.81</v>
      </c>
      <c r="O5" s="50">
        <f t="shared" ref="O5:O8" si="6">(N5 - MIN($N$4:$N$8)) / (MAX($N$4:$N$8) - MIN($N$4:$N$8))*$N$3</f>
        <v>2.4617871840094065</v>
      </c>
      <c r="P5" s="49">
        <f>VLOOKUP(A5,Data2!B2:R30,15,FALSE)</f>
        <v>25</v>
      </c>
      <c r="Q5" s="50">
        <f t="shared" ref="Q5:Q8" si="7">(P5 - MIN($P$4:$P$8)) / (MAX($P$4:$P$8) - MIN($P$4:$P$8))*$P$3</f>
        <v>2.2741764080765146</v>
      </c>
      <c r="R5" s="49">
        <f>VLOOKUP(A5,Data2!B2:R30,16,FALSE)</f>
        <v>26.67</v>
      </c>
      <c r="S5" s="50">
        <f t="shared" ref="S5:S8" si="8">(R5 - MIN($R$4:$R$8)) / (MAX($R$4:$R$8) - MIN($R$4:$R$8))*$R$3</f>
        <v>0.98371777476255129</v>
      </c>
      <c r="T5" s="49">
        <f t="shared" ref="T5:T8" si="9">SUM(C5+E5+G5+I5+K5+M5+O5+Q5+S5)</f>
        <v>53.589637007376822</v>
      </c>
      <c r="U5" s="49">
        <f t="shared" ref="U5:U8" si="10">RANK(T5,$T$4:$T$8,0)</f>
        <v>2</v>
      </c>
    </row>
    <row r="6" spans="1:21" x14ac:dyDescent="0.35">
      <c r="A6" s="38" t="s">
        <v>22</v>
      </c>
      <c r="B6" s="49">
        <f>VLOOKUP(A6,Data2!B3:O30,14,FALSE)</f>
        <v>13.55</v>
      </c>
      <c r="C6" s="50">
        <f t="shared" si="0"/>
        <v>0</v>
      </c>
      <c r="D6" s="49">
        <f>VLOOKUP(A6,Data2!B3:R31,10,FALSE)</f>
        <v>6.78</v>
      </c>
      <c r="E6" s="50">
        <f t="shared" si="1"/>
        <v>0</v>
      </c>
      <c r="F6" s="49">
        <f>VLOOKUP(A6,Data2!B3:R31,11,FALSE)</f>
        <v>7.36</v>
      </c>
      <c r="G6" s="50">
        <f t="shared" si="2"/>
        <v>0</v>
      </c>
      <c r="H6" s="49">
        <f>VLOOKUP(A6,Data2!B3:R31,3,FALSE)</f>
        <v>13.23</v>
      </c>
      <c r="I6" s="50">
        <f t="shared" si="3"/>
        <v>18.082474226804123</v>
      </c>
      <c r="J6" s="49">
        <f>VLOOKUP(A6,Data2!B3:R31,12,FALSE)</f>
        <v>5.35</v>
      </c>
      <c r="K6" s="50">
        <f t="shared" si="4"/>
        <v>8.5013623978201647</v>
      </c>
      <c r="L6" s="49">
        <f>VLOOKUP(A6,Data2!B3:R31,13,FALSE)</f>
        <v>1.73</v>
      </c>
      <c r="M6" s="50">
        <f t="shared" si="5"/>
        <v>6.6346153846153832</v>
      </c>
      <c r="N6" s="49">
        <f>VLOOKUP(A6,Data2!B3:S31,18,FALSE)</f>
        <v>40.08</v>
      </c>
      <c r="O6" s="50">
        <f t="shared" si="6"/>
        <v>5</v>
      </c>
      <c r="P6" s="49">
        <f>VLOOKUP(A6,Data2!B3:R31,15,FALSE)</f>
        <v>16.440000000000001</v>
      </c>
      <c r="Q6" s="50">
        <f t="shared" si="7"/>
        <v>0</v>
      </c>
      <c r="R6" s="49">
        <f>VLOOKUP(A6,Data2!B3:R31,16,FALSE)</f>
        <v>44.43</v>
      </c>
      <c r="S6" s="50">
        <f t="shared" si="8"/>
        <v>5</v>
      </c>
      <c r="T6" s="49">
        <f t="shared" si="9"/>
        <v>43.21845200923967</v>
      </c>
      <c r="U6" s="49">
        <f t="shared" si="10"/>
        <v>3</v>
      </c>
    </row>
    <row r="7" spans="1:21" x14ac:dyDescent="0.35">
      <c r="A7" s="38" t="s">
        <v>20</v>
      </c>
      <c r="B7" s="49">
        <f>VLOOKUP(A7,Data2!B4:O31,14,FALSE)</f>
        <v>15.37</v>
      </c>
      <c r="C7" s="50">
        <f t="shared" si="0"/>
        <v>4.8052941176470565</v>
      </c>
      <c r="D7" s="49">
        <f>VLOOKUP(A7,Data2!B4:R32,10,FALSE)</f>
        <v>8.17</v>
      </c>
      <c r="E7" s="50">
        <f t="shared" si="1"/>
        <v>11.66</v>
      </c>
      <c r="F7" s="49">
        <f>VLOOKUP(A7,Data2!B4:R32,11,FALSE)</f>
        <v>111.29</v>
      </c>
      <c r="G7" s="50">
        <f t="shared" si="2"/>
        <v>11.67</v>
      </c>
      <c r="H7" s="49">
        <f>VLOOKUP(A7,Data2!B4:R32,3,FALSE)</f>
        <v>19.54</v>
      </c>
      <c r="I7" s="50">
        <f t="shared" si="3"/>
        <v>5.0721649484536098</v>
      </c>
      <c r="J7" s="49">
        <f>VLOOKUP(A7,Data2!B4:R32,12,FALSE)</f>
        <v>3.76</v>
      </c>
      <c r="K7" s="50">
        <f t="shared" si="4"/>
        <v>15</v>
      </c>
      <c r="L7" s="49">
        <f>VLOOKUP(A7,Data2!B4:R32,13,FALSE)</f>
        <v>2.02</v>
      </c>
      <c r="M7" s="50">
        <f t="shared" si="5"/>
        <v>15</v>
      </c>
      <c r="N7" s="49">
        <f>VLOOKUP(A7,Data2!B4:S32,18,FALSE)</f>
        <v>6.06</v>
      </c>
      <c r="O7" s="50">
        <f t="shared" si="6"/>
        <v>0</v>
      </c>
      <c r="P7" s="49">
        <f>VLOOKUP(A7,Data2!B4:R32,15,FALSE)</f>
        <v>24.85</v>
      </c>
      <c r="Q7" s="50">
        <f t="shared" si="7"/>
        <v>2.2343251859723705</v>
      </c>
      <c r="R7" s="49">
        <f>VLOOKUP(A7,Data2!B4:R32,16,FALSE)</f>
        <v>22.32</v>
      </c>
      <c r="S7" s="50">
        <f t="shared" si="8"/>
        <v>0</v>
      </c>
      <c r="T7" s="49">
        <f t="shared" si="9"/>
        <v>65.441784252073035</v>
      </c>
      <c r="U7" s="49">
        <f t="shared" si="10"/>
        <v>1</v>
      </c>
    </row>
    <row r="8" spans="1:21" x14ac:dyDescent="0.35">
      <c r="A8" s="38" t="s">
        <v>21</v>
      </c>
      <c r="B8" s="49">
        <f>VLOOKUP(A8,Data2!B5:O32,14,FALSE)</f>
        <v>16.3</v>
      </c>
      <c r="C8" s="50">
        <f t="shared" si="0"/>
        <v>7.2607466063348447</v>
      </c>
      <c r="D8" s="49">
        <f>VLOOKUP(A8,Data2!B5:R33,10,FALSE)</f>
        <v>7.11</v>
      </c>
      <c r="E8" s="50">
        <f t="shared" si="1"/>
        <v>2.768201438848922</v>
      </c>
      <c r="F8" s="49">
        <f>VLOOKUP(A8,Data2!B5:R33,11,FALSE)</f>
        <v>89.98</v>
      </c>
      <c r="G8" s="50">
        <f t="shared" si="2"/>
        <v>9.2771615510439709</v>
      </c>
      <c r="H8" s="49">
        <f>VLOOKUP(A8,Data2!B5:R33,3,FALSE)</f>
        <v>12.3</v>
      </c>
      <c r="I8" s="50">
        <f t="shared" si="3"/>
        <v>20</v>
      </c>
      <c r="J8" s="49">
        <f>VLOOKUP(A8,Data2!B5:R33,12,FALSE)</f>
        <v>7.43</v>
      </c>
      <c r="K8" s="50">
        <f t="shared" si="4"/>
        <v>0</v>
      </c>
      <c r="L8" s="49">
        <f>VLOOKUP(A8,Data2!B5:R33,13,FALSE)</f>
        <v>1.5</v>
      </c>
      <c r="M8" s="50">
        <f t="shared" si="5"/>
        <v>0</v>
      </c>
      <c r="N8" s="49">
        <f>VLOOKUP(A8,Data2!B5:S33,18,FALSE)</f>
        <v>14.61</v>
      </c>
      <c r="O8" s="50">
        <f t="shared" si="6"/>
        <v>1.256613756613757</v>
      </c>
      <c r="P8" s="49">
        <f>VLOOKUP(A8,Data2!B5:R33,15,FALSE)</f>
        <v>22.76</v>
      </c>
      <c r="Q8" s="50">
        <f t="shared" si="7"/>
        <v>1.6790648246546231</v>
      </c>
      <c r="R8" s="49">
        <f>VLOOKUP(A8,Data2!B5:R33,16,FALSE)</f>
        <v>25.72</v>
      </c>
      <c r="S8" s="50">
        <f t="shared" si="8"/>
        <v>0.76888285843509696</v>
      </c>
      <c r="T8" s="49">
        <f t="shared" si="9"/>
        <v>43.010671035931225</v>
      </c>
      <c r="U8" s="49">
        <f t="shared" si="10"/>
        <v>4</v>
      </c>
    </row>
    <row r="9" spans="1:21" x14ac:dyDescent="0.35">
      <c r="T9" s="51">
        <f>AVERAGE(T4:T8)</f>
        <v>46.725760360591394</v>
      </c>
    </row>
    <row r="11" spans="1:21" x14ac:dyDescent="0.35">
      <c r="H11" s="22" t="s">
        <v>45</v>
      </c>
      <c r="I11" s="24"/>
      <c r="J11" s="23" t="s">
        <v>47</v>
      </c>
    </row>
    <row r="12" spans="1:21" x14ac:dyDescent="0.35">
      <c r="H12" t="s">
        <v>64</v>
      </c>
      <c r="I12" s="24"/>
      <c r="J12" t="s">
        <v>64</v>
      </c>
    </row>
  </sheetData>
  <conditionalFormatting sqref="U4:U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B9E24-C6D3-497A-9D9C-981864D57D62}">
  <dimension ref="A1:V12"/>
  <sheetViews>
    <sheetView workbookViewId="0"/>
  </sheetViews>
  <sheetFormatPr defaultRowHeight="14.5" x14ac:dyDescent="0.35"/>
  <cols>
    <col min="1" max="1" width="12.36328125" bestFit="1" customWidth="1"/>
    <col min="3" max="3" width="9.7265625" bestFit="1" customWidth="1"/>
    <col min="5" max="5" width="16.453125" bestFit="1" customWidth="1"/>
    <col min="6" max="6" width="19.54296875" bestFit="1" customWidth="1"/>
    <col min="7" max="7" width="9.7265625" bestFit="1" customWidth="1"/>
    <col min="8" max="8" width="13" bestFit="1" customWidth="1"/>
    <col min="9" max="9" width="20.6328125" bestFit="1" customWidth="1"/>
    <col min="10" max="10" width="17.6328125" bestFit="1" customWidth="1"/>
    <col min="11" max="11" width="14.6328125" customWidth="1"/>
    <col min="12" max="12" width="21.54296875" customWidth="1"/>
    <col min="13" max="13" width="20.08984375" bestFit="1" customWidth="1"/>
    <col min="14" max="14" width="16.453125" bestFit="1" customWidth="1"/>
    <col min="15" max="15" width="9.7265625" bestFit="1" customWidth="1"/>
    <col min="16" max="16" width="17.6328125" bestFit="1" customWidth="1"/>
    <col min="17" max="17" width="9.7265625" bestFit="1" customWidth="1"/>
    <col min="18" max="18" width="18.1796875" bestFit="1" customWidth="1"/>
    <col min="19" max="19" width="9.7265625" bestFit="1" customWidth="1"/>
    <col min="20" max="20" width="20.08984375" bestFit="1" customWidth="1"/>
  </cols>
  <sheetData>
    <row r="1" spans="1:22" x14ac:dyDescent="0.35">
      <c r="A1" s="38" t="s">
        <v>61</v>
      </c>
      <c r="B1" s="39" t="s">
        <v>57</v>
      </c>
      <c r="C1" s="40" t="s">
        <v>62</v>
      </c>
      <c r="D1" s="39" t="s">
        <v>54</v>
      </c>
      <c r="E1" s="41" t="s">
        <v>62</v>
      </c>
      <c r="F1" s="39" t="s">
        <v>49</v>
      </c>
      <c r="G1" s="41" t="s">
        <v>62</v>
      </c>
      <c r="H1" s="42" t="s">
        <v>45</v>
      </c>
      <c r="I1" s="41" t="s">
        <v>62</v>
      </c>
      <c r="J1" s="43" t="s">
        <v>47</v>
      </c>
      <c r="K1" s="41" t="s">
        <v>62</v>
      </c>
      <c r="L1" s="43" t="s">
        <v>48</v>
      </c>
      <c r="M1" s="41" t="s">
        <v>62</v>
      </c>
      <c r="N1" s="44" t="s">
        <v>50</v>
      </c>
      <c r="O1" s="41" t="s">
        <v>62</v>
      </c>
      <c r="P1" s="44" t="s">
        <v>52</v>
      </c>
      <c r="Q1" s="41" t="s">
        <v>62</v>
      </c>
      <c r="R1" s="44" t="s">
        <v>53</v>
      </c>
      <c r="S1" s="41" t="s">
        <v>62</v>
      </c>
      <c r="T1" s="38" t="s">
        <v>59</v>
      </c>
      <c r="U1" s="38" t="s">
        <v>60</v>
      </c>
    </row>
    <row r="2" spans="1:22" s="15" customFormat="1" x14ac:dyDescent="0.35">
      <c r="A2" s="45" t="s">
        <v>62</v>
      </c>
      <c r="B2" s="46">
        <v>35</v>
      </c>
      <c r="C2" s="47"/>
      <c r="D2" s="48"/>
      <c r="E2" s="47"/>
      <c r="F2" s="48"/>
      <c r="G2" s="47"/>
      <c r="H2" s="46">
        <v>20</v>
      </c>
      <c r="I2" s="47"/>
      <c r="J2" s="46">
        <v>15</v>
      </c>
      <c r="K2" s="47"/>
      <c r="L2" s="48"/>
      <c r="M2" s="47"/>
      <c r="N2" s="46">
        <v>30</v>
      </c>
      <c r="O2" s="47"/>
      <c r="P2" s="48"/>
      <c r="Q2" s="47"/>
      <c r="R2" s="48"/>
      <c r="S2" s="47"/>
      <c r="T2" s="49"/>
      <c r="U2" s="49"/>
      <c r="V2" s="53"/>
    </row>
    <row r="3" spans="1:22" x14ac:dyDescent="0.35">
      <c r="A3" s="45" t="s">
        <v>63</v>
      </c>
      <c r="B3" s="54">
        <v>11.67</v>
      </c>
      <c r="C3" s="55"/>
      <c r="D3" s="54">
        <v>11.67</v>
      </c>
      <c r="E3" s="55"/>
      <c r="F3" s="54">
        <v>11.66</v>
      </c>
      <c r="G3" s="55"/>
      <c r="H3" s="54">
        <v>20</v>
      </c>
      <c r="I3" s="47"/>
      <c r="J3" s="48">
        <v>7.5</v>
      </c>
      <c r="K3" s="47"/>
      <c r="L3" s="48">
        <v>7.5</v>
      </c>
      <c r="M3" s="47"/>
      <c r="N3" s="48">
        <v>10</v>
      </c>
      <c r="O3" s="47"/>
      <c r="P3" s="48">
        <v>10</v>
      </c>
      <c r="Q3" s="47"/>
      <c r="R3" s="48">
        <v>10</v>
      </c>
      <c r="S3" s="47"/>
      <c r="T3" s="49"/>
      <c r="U3" s="49"/>
    </row>
    <row r="4" spans="1:22" x14ac:dyDescent="0.35">
      <c r="A4" s="38" t="s">
        <v>39</v>
      </c>
      <c r="B4" s="49">
        <f>VLOOKUP(A4,Data2!B1:O28,14,FALSE)</f>
        <v>15.95</v>
      </c>
      <c r="C4" s="50">
        <f>(B4 - MIN($B$4:$B$8)) / (MAX($B$4:$B$8) - MIN($B$4:$B$8))*$B$3</f>
        <v>0</v>
      </c>
      <c r="D4" s="49">
        <f>VLOOKUP(A4,Data2!B1:R29,10,FALSE)</f>
        <v>21.76</v>
      </c>
      <c r="E4" s="50">
        <f>(D4 - MIN($D$4:$D$8)) / (MAX($D$4:$D$8) - MIN($D$4:$D$8))*$D$3</f>
        <v>5.7577882797731581</v>
      </c>
      <c r="F4" s="49">
        <f>VLOOKUP(A4,Data2!B1:R29,11,FALSE)</f>
        <v>461.2</v>
      </c>
      <c r="G4" s="50">
        <f>(F4 - MIN($F$4:$F$8)) / (MAX($F$4:$F$8) - MIN($F$4:$F$8))*$F$3</f>
        <v>7.776963658692682</v>
      </c>
      <c r="H4" s="49">
        <f>VLOOKUP(A4,Data2!B1:R29,3,FALSE)</f>
        <v>27.37</v>
      </c>
      <c r="I4" s="50">
        <f>(MAX($H$4:$H$8) - H4) / (MAX($H$4:$H$8) - MIN($H$4:$H$8))*$H$3</f>
        <v>7.0451339915373756</v>
      </c>
      <c r="J4" s="49">
        <f>VLOOKUP(A4,Data2!B1:R29,12,FALSE)</f>
        <v>0</v>
      </c>
      <c r="K4" s="50">
        <f t="shared" ref="K4:K8" si="0">(MAX($J$4:$J$8) - J4) / (MAX($J$4:$J$8) - MIN($J$4:$J$8))*$J$3</f>
        <v>7.5</v>
      </c>
      <c r="L4" s="49">
        <f>VLOOKUP(A4,Data2!B1:R29,13,FALSE)</f>
        <v>102.03</v>
      </c>
      <c r="M4" s="50">
        <f>(L4 - MIN($L$4:$L$8)) / (MAX($L$4:$L$8) - MIN($L$4:$L$8))*$L$3</f>
        <v>7.5</v>
      </c>
      <c r="N4" s="49">
        <f>VLOOKUP(A4,Data2!B1:S29,18,FALSE)</f>
        <v>13.35</v>
      </c>
      <c r="O4" s="50">
        <f>(N4 - MIN($N$4:$N$8)) / (MAX($N$4:$N$8) - MIN($N$4:$N$8))*$N$3</f>
        <v>0.19489862655330284</v>
      </c>
      <c r="P4" s="49">
        <f>VLOOKUP(A4,Data2!B1:R29,15,FALSE)</f>
        <v>20.07</v>
      </c>
      <c r="Q4" s="50">
        <f>(P4 - MIN($P$4:$P$8)) / (MAX($P$4:$P$8) - MIN($P$4:$P$8))*$P$3</f>
        <v>2.3011928429423461</v>
      </c>
      <c r="R4" s="49">
        <f>VLOOKUP(A4,Data2!B1:R29,16,FALSE)</f>
        <v>72.510000000000005</v>
      </c>
      <c r="S4" s="50">
        <f>(R4 - MIN($R$4:$R$8)) / (MAX($R$4:$R$8) - MIN($R$4:$R$8))*$R$3</f>
        <v>6.9566677863621091</v>
      </c>
      <c r="T4" s="49">
        <f>SUM(C4+E4+G4+I4+K4+M4+O4+Q4+S4)</f>
        <v>45.032645185860979</v>
      </c>
      <c r="U4" s="49">
        <f>RANK(T4,$T$4:$T$8,0)</f>
        <v>4</v>
      </c>
    </row>
    <row r="5" spans="1:22" x14ac:dyDescent="0.35">
      <c r="A5" s="38" t="s">
        <v>40</v>
      </c>
      <c r="B5" s="49">
        <f>VLOOKUP(A5,Data2!B2:O29,14,FALSE)</f>
        <v>28.08</v>
      </c>
      <c r="C5" s="50">
        <f t="shared" ref="C5:C8" si="1">(B5 - MIN($B$4:$B$8)) / (MAX($B$4:$B$8) - MIN($B$4:$B$8))*$B$3</f>
        <v>11.67</v>
      </c>
      <c r="D5" s="49">
        <f>VLOOKUP(A5,Data2!B2:R30,10,FALSE)</f>
        <v>19.97</v>
      </c>
      <c r="E5" s="50">
        <f t="shared" ref="E5:E8" si="2">(D5 - MIN($D$4:$D$8)) / (MAX($D$4:$D$8) - MIN($D$4:$D$8))*$D$3</f>
        <v>4.4415122873345929</v>
      </c>
      <c r="F5" s="49">
        <f>VLOOKUP(A5,Data2!B2:R30,11,FALSE)</f>
        <v>75.599999999999994</v>
      </c>
      <c r="G5" s="50">
        <f t="shared" ref="G5:G8" si="3">(F5 - MIN($F$4:$F$8)) / (MAX($F$4:$F$8) - MIN($F$4:$F$8))*$F$3</f>
        <v>0</v>
      </c>
      <c r="H5" s="49">
        <f>VLOOKUP(A5,Data2!B2:R30,3,FALSE)</f>
        <v>9</v>
      </c>
      <c r="I5" s="50">
        <f t="shared" ref="I5:I8" si="4">(MAX($H$4:$H$8) - H5) / (MAX($H$4:$H$8) - MIN($H$4:$H$8))*$H$3</f>
        <v>20</v>
      </c>
      <c r="J5" s="49">
        <f>VLOOKUP(A5,Data2!B2:R30,12,FALSE)</f>
        <v>0.62</v>
      </c>
      <c r="K5" s="50">
        <f t="shared" si="0"/>
        <v>4.7155688622754486</v>
      </c>
      <c r="L5" s="49">
        <f>VLOOKUP(A5,Data2!B2:R30,13,FALSE)</f>
        <v>7.75</v>
      </c>
      <c r="M5" s="50">
        <f t="shared" ref="M5:M8" si="5">(L5 - MIN($L$4:$L$8)) / (MAX($L$4:$L$8) - MIN($L$4:$L$8))*$L$3</f>
        <v>0.35252198524209039</v>
      </c>
      <c r="N5" s="49">
        <f>VLOOKUP(A5,Data2!B2:S30,18,FALSE)</f>
        <v>15.93</v>
      </c>
      <c r="O5" s="50">
        <f t="shared" ref="O5:O8" si="6">(N5 - MIN($N$4:$N$8)) / (MAX($N$4:$N$8) - MIN($N$4:$N$8))*$N$3</f>
        <v>0.3636363636363637</v>
      </c>
      <c r="P5" s="49">
        <f>VLOOKUP(A5,Data2!B2:R30,15,FALSE)</f>
        <v>16.45</v>
      </c>
      <c r="Q5" s="50">
        <f t="shared" ref="Q5:Q8" si="7">(P5 - MIN($P$4:$P$8)) / (MAX($P$4:$P$8) - MIN($P$4:$P$8))*$P$3</f>
        <v>0.50198807157057623</v>
      </c>
      <c r="R5" s="49">
        <f>VLOOKUP(A5,Data2!B2:R30,16,FALSE)</f>
        <v>65.489999999999995</v>
      </c>
      <c r="S5" s="50">
        <f t="shared" ref="S5:S8" si="8">(R5 - MIN($R$4:$R$8)) / (MAX($R$4:$R$8) - MIN($R$4:$R$8))*$R$3</f>
        <v>6.1706415854887462</v>
      </c>
      <c r="T5" s="49">
        <f t="shared" ref="T5:T8" si="9">SUM(C5+E5+G5+I5+K5+M5+O5+Q5+S5)</f>
        <v>48.215869155547821</v>
      </c>
      <c r="U5" s="49">
        <f t="shared" ref="U5:U8" si="10">RANK(T5,$T$4:$T$8,0)</f>
        <v>3</v>
      </c>
    </row>
    <row r="6" spans="1:22" x14ac:dyDescent="0.35">
      <c r="A6" s="38" t="s">
        <v>38</v>
      </c>
      <c r="B6" s="49">
        <f>VLOOKUP(A6,Data2!B3:O30,14,FALSE)</f>
        <v>18.05</v>
      </c>
      <c r="C6" s="50">
        <f t="shared" si="1"/>
        <v>2.0203627370156654</v>
      </c>
      <c r="D6" s="49">
        <f>VLOOKUP(A6,Data2!B3:R31,10,FALSE)</f>
        <v>13.93</v>
      </c>
      <c r="E6" s="50">
        <f t="shared" si="2"/>
        <v>0</v>
      </c>
      <c r="F6" s="49">
        <f>VLOOKUP(A6,Data2!B3:R31,11,FALSE)</f>
        <v>103.97</v>
      </c>
      <c r="G6" s="50">
        <f t="shared" si="3"/>
        <v>0.57217961358172054</v>
      </c>
      <c r="H6" s="49">
        <f>VLOOKUP(A6,Data2!B3:R31,3,FALSE)</f>
        <v>31.42</v>
      </c>
      <c r="I6" s="50">
        <f t="shared" si="4"/>
        <v>4.1889985895627628</v>
      </c>
      <c r="J6" s="49">
        <f>VLOOKUP(A6,Data2!B3:R31,12,FALSE)</f>
        <v>1.67</v>
      </c>
      <c r="K6" s="50">
        <f t="shared" si="0"/>
        <v>0</v>
      </c>
      <c r="L6" s="49">
        <f>VLOOKUP(A6,Data2!B3:R31,13,FALSE)</f>
        <v>3.1</v>
      </c>
      <c r="M6" s="50">
        <f t="shared" si="5"/>
        <v>0</v>
      </c>
      <c r="N6" s="49">
        <f>VLOOKUP(A6,Data2!B3:S31,18,FALSE)</f>
        <v>10.37</v>
      </c>
      <c r="O6" s="50">
        <f t="shared" si="6"/>
        <v>0</v>
      </c>
      <c r="P6" s="49">
        <f>VLOOKUP(A6,Data2!B3:R31,15,FALSE)</f>
        <v>20.87</v>
      </c>
      <c r="Q6" s="50">
        <f t="shared" si="7"/>
        <v>2.6988071570576544</v>
      </c>
      <c r="R6" s="49">
        <f>VLOOKUP(A6,Data2!B3:R31,16,FALSE)</f>
        <v>27.17</v>
      </c>
      <c r="S6" s="50">
        <f t="shared" si="8"/>
        <v>1.8799686485276004</v>
      </c>
      <c r="T6" s="49">
        <f t="shared" si="9"/>
        <v>11.360316745745404</v>
      </c>
      <c r="U6" s="49">
        <f t="shared" si="10"/>
        <v>5</v>
      </c>
    </row>
    <row r="7" spans="1:22" x14ac:dyDescent="0.35">
      <c r="A7" s="38" t="s">
        <v>42</v>
      </c>
      <c r="B7" s="49">
        <f>VLOOKUP(A7,Data2!B4:O31,14,FALSE)</f>
        <v>20.68</v>
      </c>
      <c r="C7" s="50">
        <f t="shared" si="1"/>
        <v>4.5506265457543291</v>
      </c>
      <c r="D7" s="49">
        <f>VLOOKUP(A7,Data2!B4:R32,10,FALSE)</f>
        <v>29.8</v>
      </c>
      <c r="E7" s="50">
        <f t="shared" si="2"/>
        <v>11.67</v>
      </c>
      <c r="F7" s="49">
        <f>VLOOKUP(A7,Data2!B4:R32,11,FALSE)</f>
        <v>653.73</v>
      </c>
      <c r="G7" s="50">
        <f t="shared" si="3"/>
        <v>11.66</v>
      </c>
      <c r="H7" s="49">
        <f>VLOOKUP(A7,Data2!B4:R32,3,FALSE)</f>
        <v>37.36</v>
      </c>
      <c r="I7" s="50">
        <f t="shared" si="4"/>
        <v>0</v>
      </c>
      <c r="J7" s="49">
        <f>VLOOKUP(A7,Data2!B4:R32,12,FALSE)</f>
        <v>0.01</v>
      </c>
      <c r="K7" s="50">
        <f t="shared" si="0"/>
        <v>7.455089820359281</v>
      </c>
      <c r="L7" s="49">
        <f>VLOOKUP(A7,Data2!B4:R32,13,FALSE)</f>
        <v>56.47</v>
      </c>
      <c r="M7" s="50">
        <f t="shared" si="5"/>
        <v>4.0460426564237331</v>
      </c>
      <c r="N7" s="49">
        <f>VLOOKUP(A7,Data2!B4:S32,18,FALSE)</f>
        <v>163.27000000000001</v>
      </c>
      <c r="O7" s="50">
        <f t="shared" si="6"/>
        <v>10</v>
      </c>
      <c r="P7" s="49">
        <f>VLOOKUP(A7,Data2!B4:R32,15,FALSE)</f>
        <v>35.56</v>
      </c>
      <c r="Q7" s="50">
        <f t="shared" si="7"/>
        <v>10</v>
      </c>
      <c r="R7" s="49">
        <f>VLOOKUP(A7,Data2!B4:R32,16,FALSE)</f>
        <v>99.69</v>
      </c>
      <c r="S7" s="50">
        <f t="shared" si="8"/>
        <v>10</v>
      </c>
      <c r="T7" s="49">
        <f t="shared" si="9"/>
        <v>69.381759022537338</v>
      </c>
      <c r="U7" s="49">
        <f t="shared" si="10"/>
        <v>1</v>
      </c>
    </row>
    <row r="8" spans="1:22" x14ac:dyDescent="0.35">
      <c r="A8" s="38" t="s">
        <v>51</v>
      </c>
      <c r="B8" s="49">
        <f>VLOOKUP(A8,Data2!B5:O32,14,FALSE)</f>
        <v>22.77</v>
      </c>
      <c r="C8" s="50">
        <f t="shared" si="1"/>
        <v>6.5613685078318236</v>
      </c>
      <c r="D8" s="49">
        <f>VLOOKUP(A8,Data2!B5:R33,10,FALSE)</f>
        <v>28.06</v>
      </c>
      <c r="E8" s="50">
        <f t="shared" si="2"/>
        <v>10.390491493383742</v>
      </c>
      <c r="F8" s="49">
        <f>VLOOKUP(A8,Data2!B5:R33,11,FALSE)</f>
        <v>262.29000000000002</v>
      </c>
      <c r="G8" s="50">
        <f t="shared" si="3"/>
        <v>3.7652524518706869</v>
      </c>
      <c r="H8" s="49">
        <f>VLOOKUP(A8,Data2!B5:R33,3,FALSE)</f>
        <v>9.4499999999999993</v>
      </c>
      <c r="I8" s="50">
        <f t="shared" si="4"/>
        <v>19.682651622002822</v>
      </c>
      <c r="J8" s="49">
        <f>VLOOKUP(A8,Data2!B5:R33,12,FALSE)</f>
        <v>0.27</v>
      </c>
      <c r="K8" s="50">
        <f t="shared" si="0"/>
        <v>6.2874251497005984</v>
      </c>
      <c r="L8" s="49">
        <f>VLOOKUP(A8,Data2!B5:R33,13,FALSE)</f>
        <v>27.21</v>
      </c>
      <c r="M8" s="50">
        <f t="shared" si="5"/>
        <v>1.8278075406853329</v>
      </c>
      <c r="N8" s="49">
        <f>VLOOKUP(A8,Data2!B5:S33,18,FALSE)</f>
        <v>27.26</v>
      </c>
      <c r="O8" s="50">
        <f t="shared" si="6"/>
        <v>1.1046435578809679</v>
      </c>
      <c r="P8" s="49">
        <f>VLOOKUP(A8,Data2!B5:R33,15,FALSE)</f>
        <v>15.44</v>
      </c>
      <c r="Q8" s="50">
        <f t="shared" si="7"/>
        <v>0</v>
      </c>
      <c r="R8" s="49">
        <f>VLOOKUP(A8,Data2!B5:R33,16,FALSE)</f>
        <v>10.38</v>
      </c>
      <c r="S8" s="50">
        <f t="shared" si="8"/>
        <v>0</v>
      </c>
      <c r="T8" s="49">
        <f t="shared" si="9"/>
        <v>49.619640323355974</v>
      </c>
      <c r="U8" s="49">
        <f t="shared" si="10"/>
        <v>2</v>
      </c>
    </row>
    <row r="9" spans="1:22" x14ac:dyDescent="0.35">
      <c r="T9" s="51">
        <f>AVERAGE(T4:T8)</f>
        <v>44.722046086609502</v>
      </c>
    </row>
    <row r="11" spans="1:22" x14ac:dyDescent="0.35">
      <c r="H11" s="22" t="s">
        <v>45</v>
      </c>
      <c r="I11" s="24"/>
      <c r="J11" s="23" t="s">
        <v>47</v>
      </c>
    </row>
    <row r="12" spans="1:22" x14ac:dyDescent="0.35">
      <c r="H12" t="s">
        <v>64</v>
      </c>
      <c r="I12" s="24"/>
      <c r="J12" t="s">
        <v>64</v>
      </c>
    </row>
  </sheetData>
  <conditionalFormatting sqref="U4:U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A784-F4F4-4950-B7F5-36CF634F9A62}">
  <dimension ref="A1:O1048576"/>
  <sheetViews>
    <sheetView zoomScale="90" zoomScaleNormal="90" workbookViewId="0"/>
  </sheetViews>
  <sheetFormatPr defaultRowHeight="14.5" x14ac:dyDescent="0.35"/>
  <cols>
    <col min="1" max="1" width="19.7265625" bestFit="1" customWidth="1"/>
    <col min="2" max="2" width="12.1796875" bestFit="1" customWidth="1"/>
    <col min="5" max="5" width="16.453125" bestFit="1" customWidth="1"/>
    <col min="6" max="6" width="19.54296875" bestFit="1" customWidth="1"/>
    <col min="9" max="9" width="13" bestFit="1" customWidth="1"/>
    <col min="10" max="10" width="20.6328125" bestFit="1" customWidth="1"/>
    <col min="11" max="11" width="17.6328125" bestFit="1" customWidth="1"/>
    <col min="12" max="12" width="18.1796875" bestFit="1" customWidth="1"/>
    <col min="13" max="13" width="19" bestFit="1" customWidth="1"/>
    <col min="14" max="14" width="20.08984375" bestFit="1" customWidth="1"/>
    <col min="15" max="15" width="9.36328125" bestFit="1" customWidth="1"/>
  </cols>
  <sheetData>
    <row r="1" spans="1:15" x14ac:dyDescent="0.35">
      <c r="A1" s="15" t="s">
        <v>61</v>
      </c>
      <c r="B1" s="15" t="s">
        <v>57</v>
      </c>
      <c r="C1" s="15" t="s">
        <v>54</v>
      </c>
      <c r="D1" s="15" t="s">
        <v>49</v>
      </c>
      <c r="E1" s="15" t="s">
        <v>50</v>
      </c>
      <c r="F1" s="15" t="s">
        <v>56</v>
      </c>
      <c r="G1" s="15" t="s">
        <v>45</v>
      </c>
      <c r="H1" s="15" t="s">
        <v>46</v>
      </c>
      <c r="I1" s="15" t="s">
        <v>47</v>
      </c>
      <c r="J1" s="15" t="s">
        <v>48</v>
      </c>
      <c r="K1" s="15" t="s">
        <v>52</v>
      </c>
      <c r="L1" s="15" t="s">
        <v>53</v>
      </c>
      <c r="M1" s="15" t="s">
        <v>55</v>
      </c>
      <c r="N1" s="15" t="s">
        <v>59</v>
      </c>
      <c r="O1" s="15" t="s">
        <v>60</v>
      </c>
    </row>
    <row r="2" spans="1:15" x14ac:dyDescent="0.35">
      <c r="A2" s="21" t="s">
        <v>62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5" x14ac:dyDescent="0.35">
      <c r="A3" s="15" t="s">
        <v>18</v>
      </c>
      <c r="B3">
        <f>VLOOKUP(A3,Data2!B1:O28,14,FALSE)</f>
        <v>14.45</v>
      </c>
      <c r="C3" s="18">
        <f>VLOOKUP(A3,Data2!B1:R29,10,FALSE)</f>
        <v>7.51</v>
      </c>
      <c r="D3">
        <f>VLOOKUP(A3,Data2!B1:R29,11,FALSE)</f>
        <v>92.26</v>
      </c>
      <c r="E3">
        <f>VLOOKUP(A3,Data2!B1:S29,18,FALSE)</f>
        <v>12.98</v>
      </c>
      <c r="F3">
        <v>10.5</v>
      </c>
      <c r="G3">
        <f>VLOOKUP(A3,Data2!B1:R29,3,FALSE)</f>
        <v>22</v>
      </c>
      <c r="I3">
        <f>VLOOKUP(A3,Data2!B1:R29,12,FALSE)</f>
        <v>6.41</v>
      </c>
      <c r="J3">
        <f>VLOOKUP(A3,Data2!B1:R29,13,FALSE)</f>
        <v>1.5</v>
      </c>
      <c r="K3">
        <f>VLOOKUP(A3,Data2!B1:R29,15,FALSE)</f>
        <v>35.26</v>
      </c>
      <c r="L3">
        <f>VLOOKUP(A3,Data2!B1:R29,16,FALSE)</f>
        <v>22.98</v>
      </c>
      <c r="M3">
        <v>18.579999999999998</v>
      </c>
    </row>
    <row r="4" spans="1:15" x14ac:dyDescent="0.35">
      <c r="A4" s="15" t="s">
        <v>19</v>
      </c>
      <c r="B4">
        <f>VLOOKUP(A4,Data2!B2:O29,14,FALSE)</f>
        <v>17.97</v>
      </c>
      <c r="C4" s="18">
        <f>VLOOKUP(A4,Data2!B2:R30,10,FALSE)</f>
        <v>7.88</v>
      </c>
      <c r="D4">
        <f>VLOOKUP(A4,Data2!B2:R30,11,FALSE)</f>
        <v>74.58</v>
      </c>
      <c r="E4">
        <f>VLOOKUP(A4,Data2!B2:S30,18,FALSE)</f>
        <v>22.81</v>
      </c>
      <c r="F4">
        <v>15.3</v>
      </c>
      <c r="G4">
        <f>VLOOKUP(A4,Data2!B2:R30,3,FALSE)</f>
        <v>20.09</v>
      </c>
      <c r="I4">
        <f>VLOOKUP(A4,Data2!B2:R30,12,FALSE)</f>
        <v>5.97</v>
      </c>
      <c r="J4">
        <f>VLOOKUP(A4,Data2!B2:R30,13,FALSE)</f>
        <v>1.83</v>
      </c>
      <c r="K4">
        <f>VLOOKUP(A4,Data2!B2:R30,15,FALSE)</f>
        <v>25</v>
      </c>
      <c r="L4">
        <f>VLOOKUP(A4,Data2!B2:R30,16,FALSE)</f>
        <v>26.67</v>
      </c>
      <c r="M4">
        <v>16.809999999999999</v>
      </c>
    </row>
    <row r="5" spans="1:15" x14ac:dyDescent="0.35">
      <c r="A5" s="15" t="s">
        <v>22</v>
      </c>
      <c r="B5">
        <f>VLOOKUP(A5,Data2!B3:O30,14,FALSE)</f>
        <v>13.55</v>
      </c>
      <c r="C5" s="18">
        <f>VLOOKUP(A5,Data2!B3:R31,10,FALSE)</f>
        <v>6.78</v>
      </c>
      <c r="D5">
        <f>VLOOKUP(A5,Data2!B3:R31,11,FALSE)</f>
        <v>7.36</v>
      </c>
      <c r="E5">
        <f>VLOOKUP(A5,Data2!B3:S31,18,FALSE)</f>
        <v>40.08</v>
      </c>
      <c r="F5">
        <v>3.73</v>
      </c>
      <c r="G5">
        <f>VLOOKUP(A5,Data2!B3:R31,3,FALSE)</f>
        <v>13.23</v>
      </c>
      <c r="I5">
        <f>VLOOKUP(A5,Data2!B3:R31,12,FALSE)</f>
        <v>5.35</v>
      </c>
      <c r="J5">
        <f>VLOOKUP(A5,Data2!B3:R31,13,FALSE)</f>
        <v>1.73</v>
      </c>
      <c r="K5">
        <f>VLOOKUP(A5,Data2!B3:R31,15,FALSE)</f>
        <v>16.440000000000001</v>
      </c>
      <c r="L5">
        <f>VLOOKUP(A5,Data2!B3:R31,16,FALSE)</f>
        <v>44.43</v>
      </c>
      <c r="M5">
        <v>9.34</v>
      </c>
    </row>
    <row r="6" spans="1:15" x14ac:dyDescent="0.35">
      <c r="A6" s="15" t="s">
        <v>20</v>
      </c>
      <c r="B6">
        <f>VLOOKUP(A6,Data2!B4:O31,14,FALSE)</f>
        <v>15.37</v>
      </c>
      <c r="C6" s="18">
        <f>VLOOKUP(A6,Data2!B4:R32,10,FALSE)</f>
        <v>8.17</v>
      </c>
      <c r="D6">
        <f>VLOOKUP(A6,Data2!B4:R32,11,FALSE)</f>
        <v>111.29</v>
      </c>
      <c r="E6">
        <f>VLOOKUP(A6,Data2!B4:S32,18,FALSE)</f>
        <v>6.06</v>
      </c>
      <c r="F6">
        <v>21.48</v>
      </c>
      <c r="G6">
        <f>VLOOKUP(A6,Data2!B4:R32,3,FALSE)</f>
        <v>19.54</v>
      </c>
      <c r="I6">
        <f>VLOOKUP(A6,Data2!B4:R32,12,FALSE)</f>
        <v>3.76</v>
      </c>
      <c r="J6">
        <f>VLOOKUP(A6,Data2!B4:R32,13,FALSE)</f>
        <v>2.02</v>
      </c>
      <c r="K6">
        <f>VLOOKUP(A6,Data2!B4:R32,15,FALSE)</f>
        <v>24.85</v>
      </c>
      <c r="L6">
        <f>VLOOKUP(A6,Data2!B4:R32,16,FALSE)</f>
        <v>22.32</v>
      </c>
      <c r="M6">
        <v>16.77</v>
      </c>
    </row>
    <row r="7" spans="1:15" x14ac:dyDescent="0.35">
      <c r="A7" s="15" t="s">
        <v>21</v>
      </c>
      <c r="B7">
        <f>VLOOKUP(A7,Data2!B5:O32,14,FALSE)</f>
        <v>16.3</v>
      </c>
      <c r="C7" s="18">
        <f>VLOOKUP(A7,Data2!B5:R33,10,FALSE)</f>
        <v>7.11</v>
      </c>
      <c r="D7">
        <f>VLOOKUP(A7,Data2!B5:R33,11,FALSE)</f>
        <v>89.98</v>
      </c>
      <c r="E7">
        <f>VLOOKUP(A7,Data2!B5:S33,18,FALSE)</f>
        <v>14.61</v>
      </c>
      <c r="F7">
        <v>6.32</v>
      </c>
      <c r="G7">
        <f>VLOOKUP(A7,Data2!B5:R33,3,FALSE)</f>
        <v>12.3</v>
      </c>
      <c r="I7">
        <f>VLOOKUP(A7,Data2!B5:R33,12,FALSE)</f>
        <v>7.43</v>
      </c>
      <c r="J7">
        <f>VLOOKUP(A7,Data2!B5:R33,13,FALSE)</f>
        <v>1.5</v>
      </c>
      <c r="K7">
        <f>VLOOKUP(A7,Data2!B5:R33,15,FALSE)</f>
        <v>22.76</v>
      </c>
      <c r="L7">
        <f>VLOOKUP(A7,Data2!B5:R33,16,FALSE)</f>
        <v>25.72</v>
      </c>
      <c r="M7">
        <v>12.96</v>
      </c>
    </row>
    <row r="8" spans="1:15" x14ac:dyDescent="0.35">
      <c r="A8" s="15" t="s">
        <v>31</v>
      </c>
      <c r="B8">
        <f>VLOOKUP(A8,Data2!B6:O33,14,FALSE)</f>
        <v>13.35</v>
      </c>
      <c r="C8" s="18">
        <f>VLOOKUP(A8,Data2!B6:R34,10,FALSE)</f>
        <v>17.64</v>
      </c>
      <c r="D8">
        <f>VLOOKUP(A8,Data2!B6:R34,11,FALSE)</f>
        <v>25.43</v>
      </c>
      <c r="E8">
        <f>VLOOKUP(A8,Data2!B6:S34,18,FALSE)</f>
        <v>10.37</v>
      </c>
      <c r="F8">
        <v>233.87</v>
      </c>
      <c r="G8">
        <f>VLOOKUP(A8,Data2!B6:R34,3,FALSE)</f>
        <v>54.95</v>
      </c>
      <c r="I8">
        <f>VLOOKUP(A8,Data2!B6:R34,12,FALSE)</f>
        <v>0.14000000000000001</v>
      </c>
      <c r="J8">
        <f>VLOOKUP(A8,Data2!B6:R34,13,FALSE)</f>
        <v>19.920000000000002</v>
      </c>
      <c r="K8">
        <f>VLOOKUP(A8,Data2!B6:R34,15,FALSE)</f>
        <v>24.77</v>
      </c>
      <c r="L8">
        <f>VLOOKUP(A8,Data2!B6:R34,16,FALSE)</f>
        <v>17.71</v>
      </c>
      <c r="M8">
        <v>23.48</v>
      </c>
    </row>
    <row r="9" spans="1:15" x14ac:dyDescent="0.35">
      <c r="A9" s="15" t="s">
        <v>28</v>
      </c>
      <c r="B9">
        <f>VLOOKUP(A9,Data2!B7:O34,14,FALSE)</f>
        <v>18.79</v>
      </c>
      <c r="C9" s="18">
        <f>VLOOKUP(A9,Data2!B7:R35,10,FALSE)</f>
        <v>25.32</v>
      </c>
      <c r="D9">
        <f>VLOOKUP(A9,Data2!B7:R35,11,FALSE)</f>
        <v>22.52</v>
      </c>
      <c r="E9">
        <f>VLOOKUP(A9,Data2!B7:S35,18,FALSE)</f>
        <v>8.17</v>
      </c>
      <c r="F9">
        <v>15.85</v>
      </c>
      <c r="G9">
        <f>VLOOKUP(A9,Data2!B7:R35,3,FALSE)</f>
        <v>69.94</v>
      </c>
      <c r="I9">
        <f>VLOOKUP(A9,Data2!B7:R35,12,FALSE)</f>
        <v>0.04</v>
      </c>
      <c r="J9">
        <f>VLOOKUP(A9,Data2!B7:R35,13,FALSE)</f>
        <v>44.39</v>
      </c>
      <c r="K9">
        <f>VLOOKUP(A9,Data2!B7:R35,15,FALSE)</f>
        <v>16.04</v>
      </c>
      <c r="L9">
        <f>VLOOKUP(A9,Data2!B7:R35,16,FALSE)</f>
        <v>7.37</v>
      </c>
      <c r="M9">
        <v>17.14</v>
      </c>
    </row>
    <row r="10" spans="1:15" x14ac:dyDescent="0.35">
      <c r="A10" s="15" t="s">
        <v>35</v>
      </c>
      <c r="B10">
        <f>VLOOKUP(A10,Data2!B8:O35,14,FALSE)</f>
        <v>17.399999999999999</v>
      </c>
      <c r="C10" s="18">
        <f>VLOOKUP(A10,Data2!B8:R36,10,FALSE)</f>
        <v>19.010000000000002</v>
      </c>
      <c r="D10">
        <f>VLOOKUP(A10,Data2!B8:R36,11,FALSE)</f>
        <v>8.64</v>
      </c>
      <c r="E10">
        <f>VLOOKUP(A10,Data2!B8:S36,18,FALSE)</f>
        <v>-3.78</v>
      </c>
      <c r="F10">
        <v>26.37</v>
      </c>
      <c r="G10">
        <f>VLOOKUP(A10,Data2!B8:R36,3,FALSE)</f>
        <v>39.35</v>
      </c>
      <c r="I10">
        <f>VLOOKUP(A10,Data2!B8:R36,12,FALSE)</f>
        <v>0.14000000000000001</v>
      </c>
      <c r="J10">
        <f>VLOOKUP(A10,Data2!B8:R36,13,FALSE)</f>
        <v>16.760000000000002</v>
      </c>
      <c r="K10">
        <f>VLOOKUP(A10,Data2!B8:R36,15,FALSE)</f>
        <v>13.39</v>
      </c>
      <c r="L10">
        <f>VLOOKUP(A10,Data2!B8:R36,16,FALSE)</f>
        <v>-1.87</v>
      </c>
      <c r="M10">
        <v>7.53</v>
      </c>
    </row>
    <row r="11" spans="1:15" x14ac:dyDescent="0.35">
      <c r="A11" s="15" t="s">
        <v>36</v>
      </c>
      <c r="B11">
        <f>VLOOKUP(A11,Data2!B9:O36,14,FALSE)</f>
        <v>9.27</v>
      </c>
      <c r="C11" s="18">
        <f>VLOOKUP(A11,Data2!B9:R37,10,FALSE)</f>
        <v>12.99</v>
      </c>
      <c r="D11">
        <f>VLOOKUP(A11,Data2!B9:R37,11,FALSE)</f>
        <v>28.3</v>
      </c>
      <c r="E11">
        <f>VLOOKUP(A11,Data2!B9:S37,18,FALSE)</f>
        <v>-6.53</v>
      </c>
      <c r="F11">
        <v>65.400000000000006</v>
      </c>
      <c r="G11">
        <f>VLOOKUP(A11,Data2!B9:R37,3,FALSE)</f>
        <v>51.91</v>
      </c>
      <c r="I11">
        <f>VLOOKUP(A11,Data2!B9:R37,12,FALSE)</f>
        <v>0.02</v>
      </c>
      <c r="J11">
        <f>VLOOKUP(A11,Data2!B9:R37,13,FALSE)</f>
        <v>11.78</v>
      </c>
      <c r="K11">
        <f>VLOOKUP(A11,Data2!B9:R37,15,FALSE)</f>
        <v>8.52</v>
      </c>
      <c r="L11">
        <f>VLOOKUP(A11,Data2!B9:R37,16,FALSE)</f>
        <v>7.26</v>
      </c>
      <c r="M11">
        <v>15.95</v>
      </c>
    </row>
    <row r="12" spans="1:15" x14ac:dyDescent="0.35">
      <c r="A12" s="15" t="s">
        <v>32</v>
      </c>
      <c r="B12">
        <f>VLOOKUP(A12,Data2!B10:O37,14,FALSE)</f>
        <v>20.62</v>
      </c>
      <c r="C12" s="18">
        <f>VLOOKUP(A12,Data2!B10:R38,10,FALSE)</f>
        <v>26.2</v>
      </c>
      <c r="D12">
        <f>VLOOKUP(A12,Data2!B10:R38,11,FALSE)</f>
        <v>28.75</v>
      </c>
      <c r="E12">
        <f>VLOOKUP(A12,Data2!B10:S38,18,FALSE)</f>
        <v>52.42</v>
      </c>
      <c r="F12">
        <v>42.48</v>
      </c>
      <c r="G12">
        <f>VLOOKUP(A12,Data2!B10:R38,3,FALSE)</f>
        <v>61.47</v>
      </c>
      <c r="I12">
        <f>VLOOKUP(A12,Data2!B10:R38,12,FALSE)</f>
        <v>0.12</v>
      </c>
      <c r="J12">
        <f>VLOOKUP(A12,Data2!B10:R38,13,FALSE)</f>
        <v>16.920000000000002</v>
      </c>
      <c r="K12">
        <f>VLOOKUP(A12,Data2!B10:R38,15,FALSE)</f>
        <v>25.43</v>
      </c>
      <c r="L12">
        <f>VLOOKUP(A12,Data2!B10:R38,16,FALSE)</f>
        <v>52.09</v>
      </c>
      <c r="M12">
        <v>23.56</v>
      </c>
    </row>
    <row r="13" spans="1:15" x14ac:dyDescent="0.35">
      <c r="A13" s="15" t="s">
        <v>39</v>
      </c>
      <c r="B13">
        <f>VLOOKUP(A13,Data2!B11:O38,14,FALSE)</f>
        <v>15.95</v>
      </c>
      <c r="C13" s="18">
        <f>VLOOKUP(A13,Data2!B11:R39,10,FALSE)</f>
        <v>21.76</v>
      </c>
      <c r="D13">
        <f>VLOOKUP(A13,Data2!B11:R39,11,FALSE)</f>
        <v>461.2</v>
      </c>
      <c r="E13">
        <f>VLOOKUP(A13,Data2!B11:S39,18,FALSE)</f>
        <v>13.35</v>
      </c>
      <c r="F13">
        <v>7.5</v>
      </c>
      <c r="G13">
        <f>VLOOKUP(A13,Data2!B11:R39,3,FALSE)</f>
        <v>27.37</v>
      </c>
      <c r="I13">
        <f>VLOOKUP(A13,Data2!B11:R39,12,FALSE)</f>
        <v>0</v>
      </c>
      <c r="J13">
        <f>VLOOKUP(A13,Data2!B11:R39,13,FALSE)</f>
        <v>102.03</v>
      </c>
      <c r="K13">
        <f>VLOOKUP(A13,Data2!B11:R39,15,FALSE)</f>
        <v>20.07</v>
      </c>
      <c r="L13">
        <f>VLOOKUP(A13,Data2!B11:R39,16,FALSE)</f>
        <v>72.510000000000005</v>
      </c>
      <c r="M13">
        <v>7.79</v>
      </c>
    </row>
    <row r="14" spans="1:15" x14ac:dyDescent="0.35">
      <c r="A14" s="15" t="s">
        <v>40</v>
      </c>
      <c r="B14">
        <f>VLOOKUP(A14,Data2!B12:O39,14,FALSE)</f>
        <v>28.08</v>
      </c>
      <c r="C14" s="18">
        <f>VLOOKUP(A14,Data2!B12:R40,10,FALSE)</f>
        <v>19.97</v>
      </c>
      <c r="D14">
        <f>VLOOKUP(A14,Data2!B12:R40,11,FALSE)</f>
        <v>75.599999999999994</v>
      </c>
      <c r="E14">
        <f>VLOOKUP(A14,Data2!B12:S40,18,FALSE)</f>
        <v>15.93</v>
      </c>
      <c r="F14">
        <v>-11.36</v>
      </c>
      <c r="G14">
        <f>VLOOKUP(A14,Data2!B12:R40,3,FALSE)</f>
        <v>9</v>
      </c>
      <c r="I14">
        <f>VLOOKUP(A14,Data2!B12:R40,12,FALSE)</f>
        <v>0.62</v>
      </c>
      <c r="J14">
        <f>VLOOKUP(A14,Data2!B12:R40,13,FALSE)</f>
        <v>7.75</v>
      </c>
      <c r="K14">
        <f>VLOOKUP(A14,Data2!B12:R40,15,FALSE)</f>
        <v>16.45</v>
      </c>
      <c r="L14">
        <f>VLOOKUP(A14,Data2!B12:R40,16,FALSE)</f>
        <v>65.489999999999995</v>
      </c>
      <c r="M14">
        <v>1.3</v>
      </c>
    </row>
    <row r="15" spans="1:15" x14ac:dyDescent="0.35">
      <c r="A15" s="15" t="s">
        <v>38</v>
      </c>
      <c r="B15">
        <f>VLOOKUP(A15,Data2!B13:O40,14,FALSE)</f>
        <v>18.05</v>
      </c>
      <c r="C15" s="18">
        <f>VLOOKUP(A15,Data2!B13:R41,10,FALSE)</f>
        <v>13.93</v>
      </c>
      <c r="D15">
        <f>VLOOKUP(A15,Data2!B13:R41,11,FALSE)</f>
        <v>103.97</v>
      </c>
      <c r="E15">
        <f>VLOOKUP(A15,Data2!B13:S41,18,FALSE)</f>
        <v>10.37</v>
      </c>
      <c r="F15">
        <v>14.73</v>
      </c>
      <c r="G15">
        <f>VLOOKUP(A15,Data2!B13:R41,3,FALSE)</f>
        <v>31.42</v>
      </c>
      <c r="I15">
        <f>VLOOKUP(A15,Data2!B13:R41,12,FALSE)</f>
        <v>1.67</v>
      </c>
      <c r="J15">
        <f>VLOOKUP(A15,Data2!B13:R41,13,FALSE)</f>
        <v>3.1</v>
      </c>
      <c r="K15">
        <f>VLOOKUP(A15,Data2!B13:R41,15,FALSE)</f>
        <v>20.87</v>
      </c>
      <c r="L15">
        <f>VLOOKUP(A15,Data2!B13:R41,16,FALSE)</f>
        <v>27.17</v>
      </c>
      <c r="M15">
        <v>14.47</v>
      </c>
    </row>
    <row r="16" spans="1:15" x14ac:dyDescent="0.35">
      <c r="A16" s="15" t="s">
        <v>42</v>
      </c>
      <c r="B16">
        <f>VLOOKUP(A16,Data2!B14:O41,14,FALSE)</f>
        <v>20.68</v>
      </c>
      <c r="C16" s="18">
        <f>VLOOKUP(A16,Data2!B14:R42,10,FALSE)</f>
        <v>29.8</v>
      </c>
      <c r="D16">
        <f>VLOOKUP(A16,Data2!B14:R42,11,FALSE)</f>
        <v>653.73</v>
      </c>
      <c r="E16">
        <f>VLOOKUP(A16,Data2!B14:S42,18,FALSE)</f>
        <v>163.27000000000001</v>
      </c>
      <c r="F16">
        <v>106.32</v>
      </c>
      <c r="G16">
        <f>VLOOKUP(A16,Data2!B14:R42,3,FALSE)</f>
        <v>37.36</v>
      </c>
      <c r="I16">
        <f>VLOOKUP(A16,Data2!B14:R42,12,FALSE)</f>
        <v>0.01</v>
      </c>
      <c r="J16">
        <f>VLOOKUP(A16,Data2!B14:R42,13,FALSE)</f>
        <v>56.47</v>
      </c>
      <c r="K16">
        <f>VLOOKUP(A16,Data2!B14:R42,15,FALSE)</f>
        <v>35.56</v>
      </c>
      <c r="L16">
        <f>VLOOKUP(A16,Data2!B14:R42,16,FALSE)</f>
        <v>99.69</v>
      </c>
      <c r="M16">
        <v>15.44</v>
      </c>
    </row>
    <row r="17" spans="1:13" x14ac:dyDescent="0.35">
      <c r="A17" s="15" t="s">
        <v>51</v>
      </c>
      <c r="B17">
        <f>VLOOKUP(A17,Data2!B15:O42,14,FALSE)</f>
        <v>22.77</v>
      </c>
      <c r="C17" s="18">
        <f>VLOOKUP(A17,Data2!B15:R43,10,FALSE)</f>
        <v>28.06</v>
      </c>
      <c r="D17">
        <f>VLOOKUP(A17,Data2!B15:R43,11,FALSE)</f>
        <v>262.29000000000002</v>
      </c>
      <c r="E17">
        <f>VLOOKUP(A17,Data2!B15:S43,18,FALSE)</f>
        <v>27.26</v>
      </c>
      <c r="F17">
        <v>-4.97</v>
      </c>
      <c r="G17">
        <f>VLOOKUP(A17,Data2!B15:R43,3,FALSE)</f>
        <v>9.4499999999999993</v>
      </c>
      <c r="I17">
        <f>VLOOKUP(A17,Data2!B15:R43,12,FALSE)</f>
        <v>0.27</v>
      </c>
      <c r="J17">
        <f>VLOOKUP(A17,Data2!B15:R43,13,FALSE)</f>
        <v>27.21</v>
      </c>
      <c r="K17">
        <f>VLOOKUP(A17,Data2!B15:R43,15,FALSE)</f>
        <v>15.44</v>
      </c>
      <c r="L17">
        <f>VLOOKUP(A17,Data2!B15:R43,16,FALSE)</f>
        <v>10.38</v>
      </c>
      <c r="M17">
        <v>13.64</v>
      </c>
    </row>
    <row r="1048575" spans="3:3" x14ac:dyDescent="0.35">
      <c r="C1048575" s="12"/>
    </row>
    <row r="1048576" spans="3:3" x14ac:dyDescent="0.35">
      <c r="C1048576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5B5E-4642-4081-AB2A-146BFB4EA047}">
  <dimension ref="A1:S29"/>
  <sheetViews>
    <sheetView topLeftCell="B1" workbookViewId="0">
      <selection activeCell="S1" sqref="S1"/>
    </sheetView>
  </sheetViews>
  <sheetFormatPr defaultRowHeight="14.5" x14ac:dyDescent="0.35"/>
  <cols>
    <col min="2" max="2" width="14.90625" bestFit="1" customWidth="1"/>
    <col min="3" max="3" width="8.36328125" bestFit="1" customWidth="1"/>
    <col min="7" max="7" width="9" bestFit="1" customWidth="1"/>
    <col min="8" max="8" width="7.453125" bestFit="1" customWidth="1"/>
  </cols>
  <sheetData>
    <row r="1" spans="1:19" ht="42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9" t="s">
        <v>58</v>
      </c>
    </row>
    <row r="2" spans="1:19" x14ac:dyDescent="0.35">
      <c r="A2" s="4">
        <v>1</v>
      </c>
      <c r="B2" s="5" t="s">
        <v>18</v>
      </c>
      <c r="C2" s="6">
        <v>2024.3</v>
      </c>
      <c r="D2" s="6">
        <v>22</v>
      </c>
      <c r="E2" s="6">
        <v>1552486.49</v>
      </c>
      <c r="F2" s="6">
        <v>1.0900000000000001</v>
      </c>
      <c r="G2" s="6">
        <v>17090.43</v>
      </c>
      <c r="H2" s="6">
        <v>-1.32</v>
      </c>
      <c r="I2" s="6">
        <v>87371.87</v>
      </c>
      <c r="J2" s="6">
        <v>7.14</v>
      </c>
      <c r="K2" s="6">
        <v>7.51</v>
      </c>
      <c r="L2" s="6">
        <v>92.26</v>
      </c>
      <c r="M2" s="6">
        <v>6.41</v>
      </c>
      <c r="N2" s="6">
        <v>1.5</v>
      </c>
      <c r="O2" s="6">
        <v>14.45</v>
      </c>
      <c r="P2" s="6">
        <v>35.26</v>
      </c>
      <c r="Q2" s="6">
        <v>22.98</v>
      </c>
      <c r="R2" s="6">
        <v>2.97</v>
      </c>
      <c r="S2" s="17">
        <v>12.98</v>
      </c>
    </row>
    <row r="3" spans="1:19" x14ac:dyDescent="0.35">
      <c r="A3" s="7">
        <v>2</v>
      </c>
      <c r="B3" s="8" t="s">
        <v>19</v>
      </c>
      <c r="C3" s="9">
        <v>1488.6</v>
      </c>
      <c r="D3" s="9">
        <v>20.09</v>
      </c>
      <c r="E3" s="9">
        <v>1062372.45</v>
      </c>
      <c r="F3" s="9">
        <v>0.74</v>
      </c>
      <c r="G3" s="9">
        <v>14456.33</v>
      </c>
      <c r="H3" s="9">
        <v>15.92</v>
      </c>
      <c r="I3" s="9">
        <v>49079.96</v>
      </c>
      <c r="J3" s="9">
        <v>10.09</v>
      </c>
      <c r="K3" s="9">
        <v>7.88</v>
      </c>
      <c r="L3" s="9">
        <v>74.58</v>
      </c>
      <c r="M3" s="9">
        <v>5.97</v>
      </c>
      <c r="N3" s="9">
        <v>1.83</v>
      </c>
      <c r="O3" s="9">
        <v>17.97</v>
      </c>
      <c r="P3" s="9">
        <v>25</v>
      </c>
      <c r="Q3" s="9">
        <v>26.67</v>
      </c>
      <c r="R3" s="9">
        <v>3.4</v>
      </c>
      <c r="S3" s="12">
        <v>22.81</v>
      </c>
    </row>
    <row r="4" spans="1:19" x14ac:dyDescent="0.35">
      <c r="A4" s="10">
        <v>3</v>
      </c>
      <c r="B4" s="5" t="s">
        <v>20</v>
      </c>
      <c r="C4" s="11">
        <v>2170.4</v>
      </c>
      <c r="D4" s="11">
        <v>19.54</v>
      </c>
      <c r="E4" s="11">
        <v>431610.1</v>
      </c>
      <c r="F4" s="11">
        <v>0.12</v>
      </c>
      <c r="G4" s="11">
        <v>4932.76</v>
      </c>
      <c r="H4" s="11">
        <v>-7.58</v>
      </c>
      <c r="I4" s="11">
        <v>16771.93</v>
      </c>
      <c r="J4" s="11">
        <v>10.66</v>
      </c>
      <c r="K4" s="11">
        <v>8.17</v>
      </c>
      <c r="L4" s="11">
        <v>111.29</v>
      </c>
      <c r="M4" s="11">
        <v>3.76</v>
      </c>
      <c r="N4" s="11">
        <v>2.02</v>
      </c>
      <c r="O4" s="11">
        <v>15.37</v>
      </c>
      <c r="P4" s="11">
        <v>24.85</v>
      </c>
      <c r="Q4" s="11">
        <v>22.32</v>
      </c>
      <c r="R4" s="11">
        <v>2.74</v>
      </c>
      <c r="S4" s="6">
        <v>6.06</v>
      </c>
    </row>
    <row r="5" spans="1:19" x14ac:dyDescent="0.35">
      <c r="A5" s="7">
        <v>4</v>
      </c>
      <c r="B5" s="8" t="s">
        <v>21</v>
      </c>
      <c r="C5" s="9">
        <v>1104.8</v>
      </c>
      <c r="D5" s="9">
        <v>12.3</v>
      </c>
      <c r="E5" s="9">
        <v>342634.75</v>
      </c>
      <c r="F5" s="9">
        <v>0.09</v>
      </c>
      <c r="G5" s="9">
        <v>6279.49</v>
      </c>
      <c r="H5" s="9">
        <v>-2.99</v>
      </c>
      <c r="I5" s="9">
        <v>32348.31</v>
      </c>
      <c r="J5" s="9">
        <v>3.82</v>
      </c>
      <c r="K5" s="9">
        <v>7.11</v>
      </c>
      <c r="L5" s="9">
        <v>89.98</v>
      </c>
      <c r="M5" s="9">
        <v>7.43</v>
      </c>
      <c r="N5" s="9">
        <v>1.5</v>
      </c>
      <c r="O5" s="9">
        <v>16.3</v>
      </c>
      <c r="P5" s="9">
        <v>22.76</v>
      </c>
      <c r="Q5" s="9">
        <v>25.72</v>
      </c>
      <c r="R5" s="9">
        <v>1.83</v>
      </c>
      <c r="S5" s="12">
        <v>14.61</v>
      </c>
    </row>
    <row r="6" spans="1:19" x14ac:dyDescent="0.35">
      <c r="A6" s="10">
        <v>5</v>
      </c>
      <c r="B6" s="5" t="s">
        <v>22</v>
      </c>
      <c r="C6" s="11">
        <v>97.38</v>
      </c>
      <c r="D6" s="11">
        <v>13.23</v>
      </c>
      <c r="E6" s="11">
        <v>104717.88</v>
      </c>
      <c r="F6" s="11">
        <v>2.16</v>
      </c>
      <c r="G6" s="11">
        <v>2023.87</v>
      </c>
      <c r="H6" s="11">
        <v>16.420000000000002</v>
      </c>
      <c r="I6" s="11">
        <v>7026.62</v>
      </c>
      <c r="J6" s="11">
        <v>5.35</v>
      </c>
      <c r="K6" s="11">
        <v>6.78</v>
      </c>
      <c r="L6" s="11">
        <v>7.36</v>
      </c>
      <c r="M6" s="11">
        <v>5.35</v>
      </c>
      <c r="N6" s="11">
        <v>1.73</v>
      </c>
      <c r="O6" s="11">
        <v>13.55</v>
      </c>
      <c r="P6" s="11">
        <v>16.440000000000001</v>
      </c>
      <c r="Q6" s="11">
        <v>44.43</v>
      </c>
      <c r="R6" s="11">
        <v>1.7</v>
      </c>
      <c r="S6" s="6">
        <v>40.08</v>
      </c>
    </row>
    <row r="7" spans="1:19" x14ac:dyDescent="0.35">
      <c r="A7" s="7">
        <v>6</v>
      </c>
      <c r="B7" s="8" t="s">
        <v>23</v>
      </c>
      <c r="C7" s="9">
        <v>851.15</v>
      </c>
      <c r="D7" s="9">
        <v>25.1</v>
      </c>
      <c r="E7" s="9">
        <v>66336.87</v>
      </c>
      <c r="F7" s="9">
        <v>1.94</v>
      </c>
      <c r="G7" s="9">
        <v>-2235.9899999999998</v>
      </c>
      <c r="H7" s="9">
        <v>-195.28</v>
      </c>
      <c r="I7" s="9">
        <v>10633.85</v>
      </c>
      <c r="J7" s="9">
        <v>-12.83</v>
      </c>
      <c r="K7" s="9">
        <v>6.49</v>
      </c>
      <c r="L7" s="9">
        <v>33.92</v>
      </c>
      <c r="M7" s="9">
        <v>7.22</v>
      </c>
      <c r="N7" s="9">
        <v>1.1200000000000001</v>
      </c>
      <c r="O7" s="9">
        <v>4.16</v>
      </c>
      <c r="P7" s="9">
        <v>16.45</v>
      </c>
      <c r="Q7" s="9">
        <v>-16.940000000000001</v>
      </c>
      <c r="R7" s="9">
        <v>1.03</v>
      </c>
      <c r="S7" s="12">
        <v>-4.12</v>
      </c>
    </row>
    <row r="8" spans="1:19" x14ac:dyDescent="0.35">
      <c r="A8" s="10">
        <v>7</v>
      </c>
      <c r="B8" s="5" t="s">
        <v>24</v>
      </c>
      <c r="C8" s="11">
        <v>19.899999999999999</v>
      </c>
      <c r="D8" s="11">
        <v>22.77</v>
      </c>
      <c r="E8" s="11">
        <v>62358.45</v>
      </c>
      <c r="F8" s="11">
        <v>0</v>
      </c>
      <c r="G8" s="11">
        <v>808.65</v>
      </c>
      <c r="H8" s="11">
        <v>56.72</v>
      </c>
      <c r="I8" s="11">
        <v>7604.62</v>
      </c>
      <c r="J8" s="11">
        <v>-1.56</v>
      </c>
      <c r="K8" s="11">
        <v>6.36</v>
      </c>
      <c r="L8" s="11">
        <v>0.87</v>
      </c>
      <c r="M8" s="11">
        <v>7.45</v>
      </c>
      <c r="N8" s="11">
        <v>1.17</v>
      </c>
      <c r="O8" s="11">
        <v>5.44</v>
      </c>
      <c r="P8" s="11">
        <v>17.579999999999998</v>
      </c>
      <c r="Q8" s="11">
        <v>31.6</v>
      </c>
      <c r="R8" s="11">
        <v>1.3</v>
      </c>
      <c r="S8" s="6">
        <v>11.98</v>
      </c>
    </row>
    <row r="9" spans="1:19" x14ac:dyDescent="0.35">
      <c r="A9" s="10">
        <v>8</v>
      </c>
      <c r="B9" s="5" t="s">
        <v>25</v>
      </c>
      <c r="C9" s="13">
        <v>3471.4</v>
      </c>
      <c r="D9" s="13">
        <v>92.43</v>
      </c>
      <c r="E9" s="13">
        <v>308359.26</v>
      </c>
      <c r="F9" s="13">
        <v>0.32</v>
      </c>
      <c r="G9" s="13">
        <v>871</v>
      </c>
      <c r="H9" s="13">
        <v>12.97</v>
      </c>
      <c r="I9" s="13">
        <v>14916</v>
      </c>
      <c r="J9" s="13">
        <v>19.39</v>
      </c>
      <c r="K9" s="13">
        <v>19.14</v>
      </c>
      <c r="L9" s="13">
        <v>37.590000000000003</v>
      </c>
      <c r="M9" s="13">
        <v>1.79</v>
      </c>
      <c r="N9" s="13">
        <v>5.76</v>
      </c>
      <c r="O9" s="13">
        <v>31.75</v>
      </c>
      <c r="P9" s="13">
        <v>28.04</v>
      </c>
      <c r="Q9" s="13">
        <v>14.64</v>
      </c>
      <c r="R9" s="13">
        <v>26.51</v>
      </c>
      <c r="S9" s="6">
        <v>14.37</v>
      </c>
    </row>
    <row r="10" spans="1:19" x14ac:dyDescent="0.35">
      <c r="A10" s="10">
        <v>9</v>
      </c>
      <c r="B10" s="8" t="s">
        <v>26</v>
      </c>
      <c r="C10" s="14">
        <v>2375.4</v>
      </c>
      <c r="D10" s="14">
        <v>58.05</v>
      </c>
      <c r="E10" s="14">
        <v>227852.66</v>
      </c>
      <c r="F10" s="14">
        <v>1.04</v>
      </c>
      <c r="G10" s="14">
        <v>700.83</v>
      </c>
      <c r="H10" s="14">
        <v>-35.15</v>
      </c>
      <c r="I10" s="14">
        <v>8358.91</v>
      </c>
      <c r="J10" s="14">
        <v>-4.26</v>
      </c>
      <c r="K10" s="14">
        <v>25.72</v>
      </c>
      <c r="L10" s="14">
        <v>38.229999999999997</v>
      </c>
      <c r="M10" s="14">
        <v>0.12</v>
      </c>
      <c r="N10" s="14">
        <v>25.06</v>
      </c>
      <c r="O10" s="14">
        <v>20.59</v>
      </c>
      <c r="P10" s="14">
        <v>5.23</v>
      </c>
      <c r="Q10" s="14">
        <v>8.4</v>
      </c>
      <c r="R10" s="14">
        <v>11.74</v>
      </c>
      <c r="S10" s="12">
        <v>-8.84</v>
      </c>
    </row>
    <row r="11" spans="1:19" x14ac:dyDescent="0.35">
      <c r="A11" s="10">
        <v>10</v>
      </c>
      <c r="B11" s="5" t="s">
        <v>27</v>
      </c>
      <c r="C11" s="13">
        <v>16556</v>
      </c>
      <c r="D11" s="13">
        <v>116.73</v>
      </c>
      <c r="E11" s="13">
        <v>100165.73</v>
      </c>
      <c r="F11" s="13">
        <v>0.03</v>
      </c>
      <c r="G11" s="13">
        <v>280.02</v>
      </c>
      <c r="H11" s="13">
        <v>68.290000000000006</v>
      </c>
      <c r="I11" s="13">
        <v>12835.66</v>
      </c>
      <c r="J11" s="13">
        <v>95.08</v>
      </c>
      <c r="K11" s="13">
        <v>39.81</v>
      </c>
      <c r="L11" s="13">
        <v>197.39</v>
      </c>
      <c r="M11" s="13">
        <v>0.22</v>
      </c>
      <c r="N11" s="13">
        <v>9.2200000000000006</v>
      </c>
      <c r="O11" s="13">
        <v>32.92</v>
      </c>
      <c r="P11" s="13">
        <v>53.73</v>
      </c>
      <c r="Q11" s="13">
        <v>59.81</v>
      </c>
      <c r="R11" s="13">
        <v>33.130000000000003</v>
      </c>
      <c r="S11" s="6">
        <v>64.540000000000006</v>
      </c>
    </row>
    <row r="12" spans="1:19" x14ac:dyDescent="0.35">
      <c r="A12" s="10">
        <v>11</v>
      </c>
      <c r="B12" s="8" t="s">
        <v>28</v>
      </c>
      <c r="C12" s="14">
        <v>1572.7</v>
      </c>
      <c r="D12" s="14">
        <v>69.94</v>
      </c>
      <c r="E12" s="14">
        <v>98636.61</v>
      </c>
      <c r="F12" s="14">
        <v>0.64</v>
      </c>
      <c r="G12" s="14">
        <v>347.53</v>
      </c>
      <c r="H12" s="14">
        <v>-14.72</v>
      </c>
      <c r="I12" s="14">
        <v>5455.35</v>
      </c>
      <c r="J12" s="14">
        <v>-6.04</v>
      </c>
      <c r="K12" s="14">
        <v>25.32</v>
      </c>
      <c r="L12" s="14">
        <v>22.52</v>
      </c>
      <c r="M12" s="14">
        <v>0.04</v>
      </c>
      <c r="N12" s="14">
        <v>44.39</v>
      </c>
      <c r="O12" s="14">
        <v>18.79</v>
      </c>
      <c r="P12" s="14">
        <v>16.04</v>
      </c>
      <c r="Q12" s="14">
        <v>7.37</v>
      </c>
      <c r="R12" s="14">
        <v>11.85</v>
      </c>
      <c r="S12" s="12">
        <v>8.17</v>
      </c>
    </row>
    <row r="13" spans="1:19" x14ac:dyDescent="0.35">
      <c r="A13" s="10">
        <v>12</v>
      </c>
      <c r="B13" s="5" t="s">
        <v>29</v>
      </c>
      <c r="C13" s="13">
        <v>576.20000000000005</v>
      </c>
      <c r="D13" s="13">
        <v>57.52</v>
      </c>
      <c r="E13" s="13">
        <v>67208.31</v>
      </c>
      <c r="F13" s="13">
        <v>0.66</v>
      </c>
      <c r="G13" s="13">
        <v>262.91000000000003</v>
      </c>
      <c r="H13" s="13">
        <v>17.989999999999998</v>
      </c>
      <c r="I13" s="13">
        <v>2704.03</v>
      </c>
      <c r="J13" s="13">
        <v>7.29</v>
      </c>
      <c r="K13" s="13">
        <v>24.9</v>
      </c>
      <c r="L13" s="13">
        <v>10.119999999999999</v>
      </c>
      <c r="M13" s="13">
        <v>0.11</v>
      </c>
      <c r="N13" s="13">
        <v>25.54</v>
      </c>
      <c r="O13" s="13">
        <v>20.260000000000002</v>
      </c>
      <c r="P13" s="13">
        <v>9.6300000000000008</v>
      </c>
      <c r="Q13" s="13">
        <v>12.41</v>
      </c>
      <c r="R13" s="13">
        <v>10.92</v>
      </c>
      <c r="S13" s="6">
        <v>5.21</v>
      </c>
    </row>
    <row r="14" spans="1:19" x14ac:dyDescent="0.35">
      <c r="A14" s="10">
        <v>13</v>
      </c>
      <c r="B14" s="8" t="s">
        <v>30</v>
      </c>
      <c r="C14" s="14">
        <v>611.79999999999995</v>
      </c>
      <c r="D14" s="14">
        <v>88.36</v>
      </c>
      <c r="E14" s="14">
        <v>63104.74</v>
      </c>
      <c r="F14" s="14">
        <v>0.2</v>
      </c>
      <c r="G14" s="14">
        <v>187.61</v>
      </c>
      <c r="H14" s="14">
        <v>36.450000000000003</v>
      </c>
      <c r="I14" s="14">
        <v>6181.53</v>
      </c>
      <c r="J14" s="14">
        <v>36.61</v>
      </c>
      <c r="K14" s="14">
        <v>14.31</v>
      </c>
      <c r="L14" s="14">
        <v>6.93</v>
      </c>
      <c r="M14" s="14">
        <v>1.03</v>
      </c>
      <c r="N14" s="14">
        <v>3.67</v>
      </c>
      <c r="O14" s="14">
        <v>15.88</v>
      </c>
      <c r="P14" s="14">
        <v>32.29</v>
      </c>
      <c r="Q14" s="14">
        <v>47.23</v>
      </c>
      <c r="R14" s="14">
        <v>13.14</v>
      </c>
      <c r="S14" s="12">
        <v>111.22</v>
      </c>
    </row>
    <row r="15" spans="1:19" x14ac:dyDescent="0.35">
      <c r="A15" s="10">
        <v>14</v>
      </c>
      <c r="B15" s="5" t="s">
        <v>31</v>
      </c>
      <c r="C15" s="13">
        <v>1367.6</v>
      </c>
      <c r="D15" s="13">
        <v>54.95</v>
      </c>
      <c r="E15" s="13">
        <v>45251.79</v>
      </c>
      <c r="F15" s="13">
        <v>0.51</v>
      </c>
      <c r="G15" s="13">
        <v>235.69</v>
      </c>
      <c r="H15" s="13">
        <v>113.02</v>
      </c>
      <c r="I15" s="13">
        <v>4767.5600000000004</v>
      </c>
      <c r="J15" s="13">
        <v>13.44</v>
      </c>
      <c r="K15" s="13">
        <v>17.64</v>
      </c>
      <c r="L15" s="13">
        <v>25.43</v>
      </c>
      <c r="M15" s="13">
        <v>0.14000000000000001</v>
      </c>
      <c r="N15" s="13">
        <v>19.920000000000002</v>
      </c>
      <c r="O15" s="13">
        <v>13.35</v>
      </c>
      <c r="P15" s="13">
        <v>24.77</v>
      </c>
      <c r="Q15" s="13">
        <v>17.71</v>
      </c>
      <c r="R15" s="13">
        <v>6.95</v>
      </c>
      <c r="S15" s="6">
        <v>10.37</v>
      </c>
    </row>
    <row r="16" spans="1:19" x14ac:dyDescent="0.35">
      <c r="A16" s="10">
        <v>15</v>
      </c>
      <c r="B16" s="8" t="s">
        <v>32</v>
      </c>
      <c r="C16" s="14">
        <v>1749.2</v>
      </c>
      <c r="D16" s="14">
        <v>61.47</v>
      </c>
      <c r="E16" s="14">
        <v>35974.29</v>
      </c>
      <c r="F16" s="14">
        <v>0.51</v>
      </c>
      <c r="G16" s="14">
        <v>194</v>
      </c>
      <c r="H16" s="14">
        <v>21.24</v>
      </c>
      <c r="I16" s="14">
        <v>4018.96</v>
      </c>
      <c r="J16" s="14">
        <v>20.77</v>
      </c>
      <c r="K16" s="14">
        <v>26.2</v>
      </c>
      <c r="L16" s="14">
        <v>28.75</v>
      </c>
      <c r="M16" s="14">
        <v>0.12</v>
      </c>
      <c r="N16" s="14">
        <v>16.920000000000002</v>
      </c>
      <c r="O16" s="14">
        <v>20.62</v>
      </c>
      <c r="P16" s="14">
        <v>25.43</v>
      </c>
      <c r="Q16" s="14">
        <v>52.09</v>
      </c>
      <c r="R16" s="14">
        <v>11.73</v>
      </c>
      <c r="S16" s="12">
        <v>52.42</v>
      </c>
    </row>
    <row r="17" spans="1:19" x14ac:dyDescent="0.35">
      <c r="A17" s="10">
        <v>16</v>
      </c>
      <c r="B17" s="5" t="s">
        <v>33</v>
      </c>
      <c r="C17" s="13">
        <v>7312.5</v>
      </c>
      <c r="D17" s="13">
        <v>101.01</v>
      </c>
      <c r="E17" s="13">
        <v>24785.13</v>
      </c>
      <c r="F17" s="13">
        <v>0</v>
      </c>
      <c r="G17" s="13">
        <v>118.42</v>
      </c>
      <c r="H17" s="13">
        <v>22.6</v>
      </c>
      <c r="I17" s="13">
        <v>3753.7</v>
      </c>
      <c r="J17" s="13">
        <v>33.799999999999997</v>
      </c>
      <c r="K17" s="13">
        <v>14.49</v>
      </c>
      <c r="L17" s="13">
        <v>72.010000000000005</v>
      </c>
      <c r="M17" s="13">
        <v>0.9</v>
      </c>
      <c r="N17" s="13">
        <v>2.79</v>
      </c>
      <c r="O17" s="13">
        <v>11.28</v>
      </c>
      <c r="P17" s="13">
        <v>33.340000000000003</v>
      </c>
      <c r="Q17" s="13">
        <v>30.14</v>
      </c>
      <c r="R17" s="13">
        <v>10.82</v>
      </c>
      <c r="S17" s="6">
        <v>44.83</v>
      </c>
    </row>
    <row r="18" spans="1:19" x14ac:dyDescent="0.35">
      <c r="A18" s="10">
        <v>17</v>
      </c>
      <c r="B18" s="8" t="s">
        <v>34</v>
      </c>
      <c r="C18" s="14">
        <v>791.15</v>
      </c>
      <c r="D18" s="14">
        <v>77.98</v>
      </c>
      <c r="E18" s="14">
        <v>22441.63</v>
      </c>
      <c r="F18" s="14">
        <v>0.03</v>
      </c>
      <c r="G18" s="14">
        <v>145.22999999999999</v>
      </c>
      <c r="H18" s="14">
        <v>108.81</v>
      </c>
      <c r="I18" s="14">
        <v>1909.86</v>
      </c>
      <c r="J18" s="14">
        <v>77.400000000000006</v>
      </c>
      <c r="K18" s="14">
        <v>19.36</v>
      </c>
      <c r="L18" s="14">
        <v>10.17</v>
      </c>
      <c r="M18" s="14">
        <v>0.14000000000000001</v>
      </c>
      <c r="N18" s="14">
        <v>5.0999999999999996</v>
      </c>
      <c r="O18" s="14">
        <v>14.89</v>
      </c>
      <c r="P18" s="14">
        <v>63.62</v>
      </c>
      <c r="Q18" s="14">
        <v>99.57</v>
      </c>
      <c r="R18" s="14">
        <v>7.92</v>
      </c>
      <c r="S18" s="12">
        <v>105.08</v>
      </c>
    </row>
    <row r="19" spans="1:19" x14ac:dyDescent="0.35">
      <c r="A19" s="10">
        <v>18</v>
      </c>
      <c r="B19" s="5" t="s">
        <v>35</v>
      </c>
      <c r="C19" s="13">
        <v>340</v>
      </c>
      <c r="D19" s="13">
        <v>39.35</v>
      </c>
      <c r="E19" s="13">
        <v>21877.98</v>
      </c>
      <c r="F19" s="13">
        <v>0.88</v>
      </c>
      <c r="G19" s="13">
        <v>171.74</v>
      </c>
      <c r="H19" s="13">
        <v>27.02</v>
      </c>
      <c r="I19" s="13">
        <v>2060.64</v>
      </c>
      <c r="J19" s="13">
        <v>5.08</v>
      </c>
      <c r="K19" s="13">
        <v>19.010000000000002</v>
      </c>
      <c r="L19" s="13">
        <v>8.64</v>
      </c>
      <c r="M19" s="13">
        <v>0.14000000000000001</v>
      </c>
      <c r="N19" s="13">
        <v>16.760000000000002</v>
      </c>
      <c r="O19" s="13">
        <v>17.399999999999999</v>
      </c>
      <c r="P19" s="13">
        <v>13.39</v>
      </c>
      <c r="Q19" s="13">
        <v>-1.87</v>
      </c>
      <c r="R19" s="13">
        <v>6.46</v>
      </c>
      <c r="S19" s="6">
        <v>-3.78</v>
      </c>
    </row>
    <row r="20" spans="1:19" x14ac:dyDescent="0.35">
      <c r="A20" s="10">
        <v>19</v>
      </c>
      <c r="B20" s="8" t="s">
        <v>36</v>
      </c>
      <c r="C20" s="14">
        <v>1445.4</v>
      </c>
      <c r="D20" s="14">
        <v>51.91</v>
      </c>
      <c r="E20" s="14">
        <v>18379.68</v>
      </c>
      <c r="F20" s="14">
        <v>0.35</v>
      </c>
      <c r="G20" s="14">
        <v>119.47</v>
      </c>
      <c r="H20" s="14">
        <v>26.11</v>
      </c>
      <c r="I20" s="14">
        <v>2004.67</v>
      </c>
      <c r="J20" s="14">
        <v>15.61</v>
      </c>
      <c r="K20" s="14">
        <v>12.99</v>
      </c>
      <c r="L20" s="14">
        <v>28.3</v>
      </c>
      <c r="M20" s="14">
        <v>0.02</v>
      </c>
      <c r="N20" s="14">
        <v>11.78</v>
      </c>
      <c r="O20" s="14">
        <v>9.27</v>
      </c>
      <c r="P20" s="14">
        <v>8.52</v>
      </c>
      <c r="Q20" s="14">
        <v>7.26</v>
      </c>
      <c r="R20" s="14">
        <v>4.6399999999999997</v>
      </c>
      <c r="S20" s="12">
        <v>-6.53</v>
      </c>
    </row>
    <row r="21" spans="1:19" x14ac:dyDescent="0.35">
      <c r="A21" s="10">
        <v>20</v>
      </c>
      <c r="B21" s="5" t="s">
        <v>37</v>
      </c>
      <c r="C21" s="13">
        <v>1205.2</v>
      </c>
      <c r="D21" s="13">
        <v>64.08</v>
      </c>
      <c r="E21" s="13">
        <v>15491.42</v>
      </c>
      <c r="F21" s="13">
        <v>1.58</v>
      </c>
      <c r="G21" s="13">
        <v>45.92</v>
      </c>
      <c r="H21" s="13">
        <v>-27.86</v>
      </c>
      <c r="I21" s="13">
        <v>788.21</v>
      </c>
      <c r="J21" s="13">
        <v>-1.21</v>
      </c>
      <c r="K21" s="13">
        <v>15.14</v>
      </c>
      <c r="L21" s="13">
        <v>25.73</v>
      </c>
      <c r="M21" s="13">
        <v>0.92</v>
      </c>
      <c r="N21" s="13">
        <v>3.17</v>
      </c>
      <c r="O21" s="13">
        <v>15.59</v>
      </c>
      <c r="P21" s="13">
        <v>13.47</v>
      </c>
      <c r="Q21" s="13">
        <v>33.11</v>
      </c>
      <c r="R21" s="13">
        <v>9.84</v>
      </c>
      <c r="S21" s="6">
        <v>-12.95</v>
      </c>
    </row>
    <row r="22" spans="1:19" x14ac:dyDescent="0.35">
      <c r="A22" s="10">
        <v>21</v>
      </c>
      <c r="B22" s="5" t="s">
        <v>38</v>
      </c>
      <c r="C22" s="11">
        <v>3268.8</v>
      </c>
      <c r="D22" s="11">
        <v>31.42</v>
      </c>
      <c r="E22" s="11">
        <v>406260.2</v>
      </c>
      <c r="F22" s="11">
        <v>0.77</v>
      </c>
      <c r="G22" s="11">
        <v>3541.85</v>
      </c>
      <c r="H22" s="11">
        <v>19.649999999999999</v>
      </c>
      <c r="I22" s="11">
        <v>42599.31</v>
      </c>
      <c r="J22" s="11">
        <v>20.16</v>
      </c>
      <c r="K22" s="11">
        <v>13.93</v>
      </c>
      <c r="L22" s="11">
        <v>103.97</v>
      </c>
      <c r="M22" s="11">
        <v>1.67</v>
      </c>
      <c r="N22" s="11">
        <v>3.1</v>
      </c>
      <c r="O22" s="11">
        <v>18.05</v>
      </c>
      <c r="P22" s="11">
        <v>20.87</v>
      </c>
      <c r="Q22" s="11">
        <v>27.17</v>
      </c>
      <c r="R22" s="11">
        <v>5.28</v>
      </c>
      <c r="S22" s="20">
        <v>10.37</v>
      </c>
    </row>
    <row r="23" spans="1:19" x14ac:dyDescent="0.35">
      <c r="A23" s="10">
        <v>22</v>
      </c>
      <c r="B23" s="8" t="s">
        <v>39</v>
      </c>
      <c r="C23" s="12">
        <v>12627</v>
      </c>
      <c r="D23" s="12">
        <v>27.37</v>
      </c>
      <c r="E23" s="12">
        <v>396834.12</v>
      </c>
      <c r="F23" s="12">
        <v>1.07</v>
      </c>
      <c r="G23" s="12">
        <v>3911.1</v>
      </c>
      <c r="H23" s="12">
        <v>-1.04</v>
      </c>
      <c r="I23" s="12">
        <v>40920.1</v>
      </c>
      <c r="J23" s="12">
        <v>6.37</v>
      </c>
      <c r="K23" s="12">
        <v>21.76</v>
      </c>
      <c r="L23" s="12">
        <v>461.2</v>
      </c>
      <c r="M23" s="12">
        <v>0</v>
      </c>
      <c r="N23" s="12">
        <v>102.03</v>
      </c>
      <c r="O23" s="12">
        <v>15.95</v>
      </c>
      <c r="P23" s="12">
        <v>20.07</v>
      </c>
      <c r="Q23" s="12">
        <v>72.510000000000005</v>
      </c>
      <c r="R23" s="12">
        <v>4.13</v>
      </c>
      <c r="S23" s="20">
        <v>13.35</v>
      </c>
    </row>
    <row r="24" spans="1:19" x14ac:dyDescent="0.35">
      <c r="A24" s="10">
        <v>23</v>
      </c>
      <c r="B24" s="5" t="s">
        <v>40</v>
      </c>
      <c r="C24" s="11">
        <v>690.1</v>
      </c>
      <c r="D24" s="11">
        <v>9</v>
      </c>
      <c r="E24" s="11">
        <v>254112.56</v>
      </c>
      <c r="F24" s="11">
        <v>0.87</v>
      </c>
      <c r="G24" s="11">
        <v>8556</v>
      </c>
      <c r="H24" s="11">
        <v>-49.58</v>
      </c>
      <c r="I24" s="11">
        <v>119503</v>
      </c>
      <c r="J24" s="11">
        <v>0.39</v>
      </c>
      <c r="K24" s="11">
        <v>19.97</v>
      </c>
      <c r="L24" s="11">
        <v>75.599999999999994</v>
      </c>
      <c r="M24" s="11">
        <v>0.62</v>
      </c>
      <c r="N24" s="11">
        <v>7.75</v>
      </c>
      <c r="O24" s="11">
        <v>28.08</v>
      </c>
      <c r="P24" s="11">
        <v>16.45</v>
      </c>
      <c r="Q24" s="11">
        <v>65.489999999999995</v>
      </c>
      <c r="R24" s="11">
        <v>2.19</v>
      </c>
      <c r="S24" s="6">
        <v>15.93</v>
      </c>
    </row>
    <row r="25" spans="1:19" x14ac:dyDescent="0.35">
      <c r="A25" s="10">
        <v>24</v>
      </c>
      <c r="B25" s="8" t="s">
        <v>41</v>
      </c>
      <c r="C25" s="9">
        <v>2117.1</v>
      </c>
      <c r="D25" s="9">
        <v>31.34</v>
      </c>
      <c r="E25" s="9">
        <v>172104.46</v>
      </c>
      <c r="F25" s="9">
        <v>0</v>
      </c>
      <c r="G25" s="9">
        <v>1582.56</v>
      </c>
      <c r="H25" s="9">
        <v>-4.05</v>
      </c>
      <c r="I25" s="9">
        <v>17561.95</v>
      </c>
      <c r="J25" s="9">
        <v>2.5099999999999998</v>
      </c>
      <c r="K25" s="9">
        <v>54.22</v>
      </c>
      <c r="L25" s="9">
        <v>67.59</v>
      </c>
      <c r="M25" s="9">
        <v>0.05</v>
      </c>
      <c r="N25" s="9">
        <v>59.13</v>
      </c>
      <c r="O25" s="9">
        <v>42.16</v>
      </c>
      <c r="P25" s="9">
        <v>12.88</v>
      </c>
      <c r="Q25" s="9">
        <v>24.22</v>
      </c>
      <c r="R25" s="9">
        <v>10.91</v>
      </c>
      <c r="S25" s="12"/>
    </row>
    <row r="26" spans="1:19" x14ac:dyDescent="0.35">
      <c r="A26" s="10">
        <v>25</v>
      </c>
      <c r="B26" s="5" t="s">
        <v>42</v>
      </c>
      <c r="C26" s="11">
        <v>17140</v>
      </c>
      <c r="D26" s="11">
        <v>37.36</v>
      </c>
      <c r="E26" s="11">
        <v>22584.11</v>
      </c>
      <c r="F26" s="11">
        <v>0.12</v>
      </c>
      <c r="G26" s="11">
        <v>176.36</v>
      </c>
      <c r="H26" s="11">
        <v>52.4</v>
      </c>
      <c r="I26" s="11">
        <v>2297.25</v>
      </c>
      <c r="J26" s="11">
        <v>21.88</v>
      </c>
      <c r="K26" s="11">
        <v>29.8</v>
      </c>
      <c r="L26" s="11">
        <v>653.73</v>
      </c>
      <c r="M26" s="11">
        <v>0.01</v>
      </c>
      <c r="N26" s="11">
        <v>56.47</v>
      </c>
      <c r="O26" s="11">
        <v>20.68</v>
      </c>
      <c r="P26" s="11">
        <v>35.56</v>
      </c>
      <c r="Q26" s="11">
        <v>99.69</v>
      </c>
      <c r="R26" s="11">
        <v>7.45</v>
      </c>
      <c r="S26" s="6">
        <v>163.27000000000001</v>
      </c>
    </row>
    <row r="27" spans="1:19" x14ac:dyDescent="0.35">
      <c r="A27" s="10">
        <v>26</v>
      </c>
      <c r="B27" s="8" t="s">
        <v>43</v>
      </c>
      <c r="C27" s="9">
        <v>1327.3</v>
      </c>
      <c r="D27" s="9">
        <v>78.47</v>
      </c>
      <c r="E27" s="9">
        <v>10898.01</v>
      </c>
      <c r="F27" s="9">
        <v>0.03</v>
      </c>
      <c r="G27" s="9">
        <v>20.68</v>
      </c>
      <c r="H27" s="9">
        <v>50.84</v>
      </c>
      <c r="I27" s="9">
        <v>448.92</v>
      </c>
      <c r="J27" s="9">
        <v>55.44</v>
      </c>
      <c r="K27" s="9">
        <v>20.39</v>
      </c>
      <c r="L27" s="9">
        <v>16.920000000000002</v>
      </c>
      <c r="M27" s="9">
        <v>0.24</v>
      </c>
      <c r="N27" s="9">
        <v>4.67</v>
      </c>
      <c r="O27" s="9">
        <v>14.15</v>
      </c>
      <c r="P27" s="9">
        <v>44.82</v>
      </c>
      <c r="Q27" s="9">
        <v>55.48</v>
      </c>
      <c r="R27" s="9">
        <v>10.38</v>
      </c>
      <c r="S27" s="12">
        <v>33.340000000000003</v>
      </c>
    </row>
    <row r="28" spans="1:19" x14ac:dyDescent="0.35">
      <c r="A28" s="10">
        <v>27</v>
      </c>
      <c r="B28" s="5" t="s">
        <v>44</v>
      </c>
      <c r="C28" s="11">
        <v>50.97</v>
      </c>
      <c r="D28" s="11">
        <v>122.41</v>
      </c>
      <c r="E28" s="11">
        <v>968.29</v>
      </c>
      <c r="F28" s="11">
        <v>0</v>
      </c>
      <c r="G28" s="11">
        <v>1.55</v>
      </c>
      <c r="H28" s="11">
        <v>573.91</v>
      </c>
      <c r="I28" s="11">
        <v>30.68</v>
      </c>
      <c r="J28" s="11">
        <v>450.81</v>
      </c>
      <c r="K28" s="11">
        <v>5.15</v>
      </c>
      <c r="L28" s="11">
        <v>0.42</v>
      </c>
      <c r="M28" s="11">
        <v>0.02</v>
      </c>
      <c r="N28" s="11">
        <v>12.44</v>
      </c>
      <c r="O28" s="11">
        <v>4.42</v>
      </c>
      <c r="P28" s="11">
        <v>323.52</v>
      </c>
      <c r="Q28" s="11">
        <v>225.2</v>
      </c>
      <c r="R28" s="11">
        <v>3.5</v>
      </c>
      <c r="S28" s="6">
        <v>168.55</v>
      </c>
    </row>
    <row r="29" spans="1:19" x14ac:dyDescent="0.35">
      <c r="A29" s="16">
        <v>28</v>
      </c>
      <c r="B29" s="5" t="s">
        <v>51</v>
      </c>
      <c r="C29" s="17">
        <v>8288.5</v>
      </c>
      <c r="D29" s="17">
        <v>9.4499999999999993</v>
      </c>
      <c r="E29" s="17">
        <v>31.7</v>
      </c>
      <c r="F29" s="17">
        <v>231535.74</v>
      </c>
      <c r="G29" s="17">
        <v>2.5299999999999998</v>
      </c>
      <c r="H29" s="17">
        <v>1801.85</v>
      </c>
      <c r="I29" s="17">
        <v>-10.42</v>
      </c>
      <c r="J29" s="17">
        <v>12646.32</v>
      </c>
      <c r="K29" s="17">
        <v>28.06</v>
      </c>
      <c r="L29" s="17">
        <v>262.29000000000002</v>
      </c>
      <c r="M29" s="17">
        <v>0.27</v>
      </c>
      <c r="N29" s="17">
        <v>27.21</v>
      </c>
      <c r="O29" s="17">
        <v>22.77</v>
      </c>
      <c r="P29" s="17">
        <v>15.44</v>
      </c>
      <c r="Q29" s="17">
        <v>10.38</v>
      </c>
      <c r="R29" s="17">
        <v>6.58</v>
      </c>
      <c r="S29" s="6">
        <v>27.26</v>
      </c>
    </row>
  </sheetData>
  <hyperlinks>
    <hyperlink ref="B2" r:id="rId1" display="https://www.screener.in/company/HDFCBANK/consolidated/" xr:uid="{73AFBB36-7A26-4E05-BDF9-B27066509B73}"/>
    <hyperlink ref="B3" r:id="rId2" display="https://www.screener.in/company/ICICIBANK/consolidated/" xr:uid="{8540C5D2-499C-4691-A1FC-5B115A56C55D}"/>
    <hyperlink ref="B4" r:id="rId3" display="https://www.screener.in/company/KOTAKBANK/consolidated/" xr:uid="{4A5A38B4-8938-4D12-8A3E-5D5A2D83D3F1}"/>
    <hyperlink ref="B5" r:id="rId4" display="https://www.screener.in/company/AXISBANK/consolidated/" xr:uid="{F9CAC4E4-2287-4A33-B182-A4288B1F84A3}"/>
    <hyperlink ref="B6" r:id="rId5" display="https://www.screener.in/company/IDBI/consolidated/" xr:uid="{DEFA5EC2-7664-4B92-8AD1-A032146DF06C}"/>
    <hyperlink ref="B7" r:id="rId6" display="https://www.screener.in/company/INDUSINDBK/" xr:uid="{77E3A24B-FA7D-4331-88F4-0D476228A05E}"/>
    <hyperlink ref="B8" r:id="rId7" display="https://www.screener.in/company/YESBANK/consolidated/" xr:uid="{ABC0573F-42F8-4061-9609-C57545AEB815}"/>
    <hyperlink ref="B9" r:id="rId8" display="https://www.screener.in/company/TITAN/consolidated/" xr:uid="{FC509DCB-82E5-46E4-B32C-A49C0F6AC339}"/>
    <hyperlink ref="B10" r:id="rId9" display="https://www.screener.in/company/ASIANPAINT/consolidated/" xr:uid="{F242DB17-E7E8-4DD1-98C5-C08303CCAEA7}"/>
    <hyperlink ref="B11" r:id="rId10" display="https://www.screener.in/company/DIXON/consolidated/" xr:uid="{34B4216D-E451-4115-8603-6756485CA7F7}"/>
    <hyperlink ref="B12" r:id="rId11" display="https://www.screener.in/company/HAVELLS/consolidated/" xr:uid="{05EE5641-9F21-49D2-9918-F579B84F3DB2}"/>
    <hyperlink ref="B13" r:id="rId12" display="https://www.screener.in/company/BERGEPAINT/consolidated/" xr:uid="{97C0F671-EC87-448F-9DF9-AC4909876FB2}"/>
    <hyperlink ref="B14" r:id="rId13" display="https://www.screener.in/company/KALYANKJIL/consolidated/" xr:uid="{08359D73-33C8-45A3-98D9-79D3384CAEB6}"/>
    <hyperlink ref="B15" r:id="rId14" display="https://www.screener.in/company/VOLTAS/consolidated/" xr:uid="{F90C8DFB-7688-4B8A-8740-8D07C0649490}"/>
    <hyperlink ref="B16" r:id="rId15" display="https://www.screener.in/company/BLUESTARCO/consolidated/" xr:uid="{4BFBD743-F1EC-4B4F-9A24-C1B05E8B8553}"/>
    <hyperlink ref="B17" r:id="rId16" display="https://www.screener.in/company/AMBER/consolidated/" xr:uid="{164E31FE-BFEB-4B7E-BA9D-3988BC6B20B1}"/>
    <hyperlink ref="B18" r:id="rId17" display="https://www.screener.in/company/PGEL/consolidated/" xr:uid="{63ACE630-B967-4655-8812-11FD5629C23F}"/>
    <hyperlink ref="B19" r:id="rId18" display="https://www.screener.in/company/CROMPTON/consolidated/" xr:uid="{4F975701-FE04-4E83-A436-ED66AFC41024}"/>
    <hyperlink ref="B20" r:id="rId19" display="https://www.screener.in/company/WHIRLPOOL/consolidated/" xr:uid="{0962E396-1CFD-465B-B9BB-7EABC99FB00A}"/>
    <hyperlink ref="B21" r:id="rId20" display="https://www.screener.in/company/BATAINDIA/consolidated/" xr:uid="{066A531C-53EB-4B1B-A81A-1178D99F3B75}"/>
    <hyperlink ref="B22" r:id="rId21" display="https://www.screener.in/company/M&amp;M/consolidated/" xr:uid="{B2079375-2873-40A7-B010-C82AA0AB0AC9}"/>
    <hyperlink ref="B23" r:id="rId22" display="https://www.screener.in/company/MARUTI/consolidated/" xr:uid="{D3481E76-E7C5-4611-A8B7-C39315183779}"/>
    <hyperlink ref="B24" r:id="rId23" display="https://www.screener.in/company/TATAMOTORS/consolidated/" xr:uid="{A3421495-242C-4EDA-9693-7F37A4098B7A}"/>
    <hyperlink ref="B25" r:id="rId24" display="https://www.screener.in/company/HYUNDAI/" xr:uid="{971105F3-D024-4640-A8A0-A7F82DE95FA9}"/>
    <hyperlink ref="B26" r:id="rId25" display="https://www.screener.in/company/FORCEMOT/consolidated/" xr:uid="{2AEADAEE-2185-4A90-BB2A-E6E45536D1D3}"/>
    <hyperlink ref="B27" r:id="rId26" display="https://www.screener.in/company/OLECTRA/consolidated/" xr:uid="{75EE1287-4A52-4E97-8B23-C8636603380D}"/>
    <hyperlink ref="B28" r:id="rId27" display="https://www.screener.in/company/531357/consolidated/" xr:uid="{6DD8F4AB-C263-4115-8727-8661C302F6CC}"/>
    <hyperlink ref="B29" r:id="rId28" display="https://www.screener.in/company/BAJAJ-AUTO/consolidated/" xr:uid="{57EB4B19-9A65-44D2-89F0-544D82FF95A3}"/>
  </hyperlinks>
  <pageMargins left="0.7" right="0.7" top="0.75" bottom="0.75" header="0.3" footer="0.3"/>
  <pageSetup paperSize="9"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Charts</vt:lpstr>
      <vt:lpstr>Tables</vt:lpstr>
      <vt:lpstr>Con. D</vt:lpstr>
      <vt:lpstr>Banking</vt:lpstr>
      <vt:lpstr>Auto. M</vt:lpstr>
      <vt:lpstr>data</vt:lpstr>
      <vt:lpstr>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Nirmitee Mhatre</dc:creator>
  <cp:lastModifiedBy>Nirmitee Mhatre</cp:lastModifiedBy>
  <dcterms:created xsi:type="dcterms:W3CDTF">2025-07-23T18:47:52Z</dcterms:created>
  <dcterms:modified xsi:type="dcterms:W3CDTF">2026-04-22T17:01:02Z</dcterms:modified>
</cp:coreProperties>
</file>