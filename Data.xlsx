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80a16158d391f96e/VESIM/F Project/"/>
    </mc:Choice>
  </mc:AlternateContent>
  <xr:revisionPtr revIDLastSave="33" documentId="8_{50774F95-3B7D-4E97-8BAC-05B4A4252F32}" xr6:coauthVersionLast="47" xr6:coauthVersionMax="47" xr10:uidLastSave="{6CA986F0-F488-46E3-A035-8028A8956C14}"/>
  <bookViews>
    <workbookView xWindow="-110" yWindow="-110" windowWidth="19420" windowHeight="10300" xr2:uid="{5D7DE7EE-E291-4F8C-9A20-C7850E97B073}"/>
  </bookViews>
  <sheets>
    <sheet name="Con. D" sheetId="5" r:id="rId1"/>
    <sheet name="Banking" sheetId="6" r:id="rId2"/>
    <sheet name="Auto. M" sheetId="7" r:id="rId3"/>
    <sheet name="data" sheetId="4" state="hidden" r:id="rId4"/>
    <sheet name="Data2" sheetId="1" state="hidden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T9" i="7" l="1"/>
  <c r="T9" i="6"/>
  <c r="T9" i="5"/>
  <c r="R8" i="7"/>
  <c r="P8" i="7"/>
  <c r="N8" i="7"/>
  <c r="L8" i="7"/>
  <c r="J8" i="7"/>
  <c r="H8" i="7"/>
  <c r="F8" i="7"/>
  <c r="D8" i="7"/>
  <c r="E8" i="7" s="1"/>
  <c r="B8" i="7"/>
  <c r="R7" i="7"/>
  <c r="P7" i="7"/>
  <c r="N7" i="7"/>
  <c r="L7" i="7"/>
  <c r="J7" i="7"/>
  <c r="H7" i="7"/>
  <c r="F7" i="7"/>
  <c r="G7" i="7" s="1"/>
  <c r="D7" i="7"/>
  <c r="B7" i="7"/>
  <c r="R6" i="7"/>
  <c r="P6" i="7"/>
  <c r="N6" i="7"/>
  <c r="L6" i="7"/>
  <c r="J6" i="7"/>
  <c r="H6" i="7"/>
  <c r="I6" i="7" s="1"/>
  <c r="F6" i="7"/>
  <c r="D6" i="7"/>
  <c r="B6" i="7"/>
  <c r="R5" i="7"/>
  <c r="P5" i="7"/>
  <c r="N5" i="7"/>
  <c r="L5" i="7"/>
  <c r="J5" i="7"/>
  <c r="K5" i="7" s="1"/>
  <c r="H5" i="7"/>
  <c r="F5" i="7"/>
  <c r="D5" i="7"/>
  <c r="B5" i="7"/>
  <c r="R4" i="7"/>
  <c r="S4" i="7" s="1"/>
  <c r="P4" i="7"/>
  <c r="Q4" i="7" s="1"/>
  <c r="N4" i="7"/>
  <c r="O4" i="7" s="1"/>
  <c r="L4" i="7"/>
  <c r="M4" i="7" s="1"/>
  <c r="J4" i="7"/>
  <c r="H4" i="7"/>
  <c r="F4" i="7"/>
  <c r="D4" i="7"/>
  <c r="B4" i="7"/>
  <c r="C4" i="7" s="1"/>
  <c r="I8" i="6"/>
  <c r="I7" i="6"/>
  <c r="I6" i="6"/>
  <c r="I5" i="6"/>
  <c r="I4" i="6"/>
  <c r="I5" i="5"/>
  <c r="I6" i="5"/>
  <c r="I7" i="5"/>
  <c r="I8" i="5"/>
  <c r="I4" i="5"/>
  <c r="K4" i="5"/>
  <c r="S8" i="6"/>
  <c r="S7" i="6"/>
  <c r="S6" i="6"/>
  <c r="S5" i="6"/>
  <c r="S4" i="6"/>
  <c r="Q8" i="6"/>
  <c r="Q7" i="6"/>
  <c r="Q6" i="6"/>
  <c r="Q5" i="6"/>
  <c r="Q4" i="6"/>
  <c r="O4" i="6"/>
  <c r="O5" i="6"/>
  <c r="O6" i="6"/>
  <c r="O7" i="6"/>
  <c r="O8" i="6"/>
  <c r="M8" i="6"/>
  <c r="M7" i="6"/>
  <c r="M6" i="6"/>
  <c r="M5" i="6"/>
  <c r="M4" i="6"/>
  <c r="K4" i="6"/>
  <c r="K8" i="6"/>
  <c r="K7" i="6"/>
  <c r="K6" i="6"/>
  <c r="K5" i="6"/>
  <c r="G8" i="6"/>
  <c r="G7" i="6"/>
  <c r="G6" i="6"/>
  <c r="G5" i="6"/>
  <c r="G4" i="6"/>
  <c r="E8" i="6"/>
  <c r="E7" i="6"/>
  <c r="E6" i="6"/>
  <c r="E5" i="6"/>
  <c r="E4" i="6"/>
  <c r="C5" i="6"/>
  <c r="C6" i="6"/>
  <c r="C7" i="6"/>
  <c r="C8" i="6"/>
  <c r="C4" i="6"/>
  <c r="S5" i="5"/>
  <c r="S6" i="5"/>
  <c r="S7" i="5"/>
  <c r="S8" i="5"/>
  <c r="Q5" i="5"/>
  <c r="Q6" i="5"/>
  <c r="Q7" i="5"/>
  <c r="Q8" i="5"/>
  <c r="Q4" i="5"/>
  <c r="S4" i="5"/>
  <c r="M5" i="5"/>
  <c r="M6" i="5"/>
  <c r="M7" i="5"/>
  <c r="M8" i="5"/>
  <c r="M4" i="5"/>
  <c r="K5" i="5"/>
  <c r="K6" i="5"/>
  <c r="K7" i="5"/>
  <c r="K8" i="5"/>
  <c r="G5" i="5"/>
  <c r="G6" i="5"/>
  <c r="G7" i="5"/>
  <c r="G8" i="5"/>
  <c r="G4" i="5"/>
  <c r="E5" i="5"/>
  <c r="E6" i="5"/>
  <c r="E7" i="5"/>
  <c r="E8" i="5"/>
  <c r="E4" i="5"/>
  <c r="C5" i="5"/>
  <c r="C6" i="5"/>
  <c r="C7" i="5"/>
  <c r="C8" i="5"/>
  <c r="C4" i="5"/>
  <c r="O5" i="5"/>
  <c r="O6" i="5"/>
  <c r="O7" i="5"/>
  <c r="O8" i="5"/>
  <c r="O4" i="5"/>
  <c r="R8" i="5"/>
  <c r="P8" i="5"/>
  <c r="N8" i="5"/>
  <c r="L8" i="5"/>
  <c r="J8" i="5"/>
  <c r="H8" i="5"/>
  <c r="F8" i="5"/>
  <c r="D8" i="5"/>
  <c r="B8" i="5"/>
  <c r="R7" i="5"/>
  <c r="P7" i="5"/>
  <c r="N7" i="5"/>
  <c r="L7" i="5"/>
  <c r="J7" i="5"/>
  <c r="H7" i="5"/>
  <c r="F7" i="5"/>
  <c r="D7" i="5"/>
  <c r="B7" i="5"/>
  <c r="R6" i="5"/>
  <c r="P6" i="5"/>
  <c r="N6" i="5"/>
  <c r="L6" i="5"/>
  <c r="J6" i="5"/>
  <c r="H6" i="5"/>
  <c r="F6" i="5"/>
  <c r="D6" i="5"/>
  <c r="B6" i="5"/>
  <c r="R5" i="5"/>
  <c r="P5" i="5"/>
  <c r="N5" i="5"/>
  <c r="L5" i="5"/>
  <c r="J5" i="5"/>
  <c r="H5" i="5"/>
  <c r="F5" i="5"/>
  <c r="D5" i="5"/>
  <c r="B5" i="5"/>
  <c r="R4" i="5"/>
  <c r="P4" i="5"/>
  <c r="N4" i="5"/>
  <c r="L4" i="5"/>
  <c r="J4" i="5"/>
  <c r="H4" i="5"/>
  <c r="F4" i="5"/>
  <c r="D4" i="5"/>
  <c r="B4" i="5"/>
  <c r="N4" i="6"/>
  <c r="N5" i="6"/>
  <c r="N6" i="6"/>
  <c r="N7" i="6"/>
  <c r="N8" i="6"/>
  <c r="R8" i="6"/>
  <c r="P8" i="6"/>
  <c r="L8" i="6"/>
  <c r="J8" i="6"/>
  <c r="H8" i="6"/>
  <c r="F8" i="6"/>
  <c r="D8" i="6"/>
  <c r="B8" i="6"/>
  <c r="R7" i="6"/>
  <c r="P7" i="6"/>
  <c r="L7" i="6"/>
  <c r="J7" i="6"/>
  <c r="H7" i="6"/>
  <c r="F7" i="6"/>
  <c r="D7" i="6"/>
  <c r="B7" i="6"/>
  <c r="R6" i="6"/>
  <c r="P6" i="6"/>
  <c r="L6" i="6"/>
  <c r="J6" i="6"/>
  <c r="H6" i="6"/>
  <c r="F6" i="6"/>
  <c r="D6" i="6"/>
  <c r="B6" i="6"/>
  <c r="R5" i="6"/>
  <c r="P5" i="6"/>
  <c r="L5" i="6"/>
  <c r="J5" i="6"/>
  <c r="H5" i="6"/>
  <c r="F5" i="6"/>
  <c r="D5" i="6"/>
  <c r="B5" i="6"/>
  <c r="R4" i="6"/>
  <c r="P4" i="6"/>
  <c r="L4" i="6"/>
  <c r="J4" i="6"/>
  <c r="H4" i="6"/>
  <c r="F4" i="6"/>
  <c r="D4" i="6"/>
  <c r="B4" i="6"/>
  <c r="G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3" i="4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L3" i="4"/>
  <c r="K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3" i="4"/>
  <c r="G8" i="7" l="1"/>
  <c r="M5" i="7"/>
  <c r="I7" i="7"/>
  <c r="M6" i="7"/>
  <c r="K7" i="7"/>
  <c r="Q5" i="7"/>
  <c r="K8" i="7"/>
  <c r="E4" i="7"/>
  <c r="T4" i="7" s="1"/>
  <c r="C5" i="7"/>
  <c r="S5" i="7"/>
  <c r="Q6" i="7"/>
  <c r="O7" i="7"/>
  <c r="M8" i="7"/>
  <c r="G4" i="7"/>
  <c r="E5" i="7"/>
  <c r="C6" i="7"/>
  <c r="T6" i="7" s="1"/>
  <c r="S6" i="7"/>
  <c r="Q7" i="7"/>
  <c r="O8" i="7"/>
  <c r="K6" i="7"/>
  <c r="O5" i="7"/>
  <c r="I8" i="7"/>
  <c r="O6" i="7"/>
  <c r="M7" i="7"/>
  <c r="T7" i="7" s="1"/>
  <c r="I4" i="7"/>
  <c r="G5" i="7"/>
  <c r="E6" i="7"/>
  <c r="C7" i="7"/>
  <c r="S7" i="7"/>
  <c r="Q8" i="7"/>
  <c r="K4" i="7"/>
  <c r="I5" i="7"/>
  <c r="G6" i="7"/>
  <c r="E7" i="7"/>
  <c r="C8" i="7"/>
  <c r="S8" i="7"/>
  <c r="T4" i="5"/>
  <c r="T8" i="5"/>
  <c r="T7" i="5"/>
  <c r="T5" i="5"/>
  <c r="T4" i="6"/>
  <c r="T7" i="6"/>
  <c r="T8" i="6"/>
  <c r="T5" i="6"/>
  <c r="T6" i="6"/>
  <c r="T5" i="7" l="1"/>
  <c r="T8" i="7"/>
  <c r="U8" i="7"/>
  <c r="U7" i="7"/>
  <c r="U6" i="7"/>
  <c r="U5" i="7"/>
  <c r="U4" i="7"/>
  <c r="U4" i="6"/>
  <c r="T6" i="5"/>
  <c r="U4" i="5" s="1"/>
  <c r="U8" i="6"/>
  <c r="U7" i="6"/>
  <c r="U6" i="6"/>
  <c r="U5" i="6"/>
  <c r="U6" i="5" l="1"/>
  <c r="U8" i="5"/>
  <c r="U5" i="5"/>
  <c r="U7" i="5"/>
</calcChain>
</file>

<file path=xl/sharedStrings.xml><?xml version="1.0" encoding="utf-8"?>
<sst xmlns="http://schemas.openxmlformats.org/spreadsheetml/2006/main" count="174" uniqueCount="65">
  <si>
    <t>S.No.</t>
  </si>
  <si>
    <t>Name</t>
  </si>
  <si>
    <r>
      <t>CMP </t>
    </r>
    <r>
      <rPr>
        <sz val="11"/>
        <color rgb="FF737373"/>
        <rFont val="Arial"/>
        <family val="2"/>
      </rPr>
      <t>Rs.</t>
    </r>
  </si>
  <si>
    <t>P/E</t>
  </si>
  <si>
    <r>
      <t>Mar Cap </t>
    </r>
    <r>
      <rPr>
        <sz val="11"/>
        <color rgb="FF737373"/>
        <rFont val="Arial"/>
        <family val="2"/>
      </rPr>
      <t>Rs.Cr.</t>
    </r>
  </si>
  <si>
    <r>
      <t>Div Yld </t>
    </r>
    <r>
      <rPr>
        <sz val="11"/>
        <color rgb="FF737373"/>
        <rFont val="Arial"/>
        <family val="2"/>
      </rPr>
      <t>%</t>
    </r>
  </si>
  <si>
    <r>
      <t>NP Qtr </t>
    </r>
    <r>
      <rPr>
        <sz val="11"/>
        <color rgb="FF737373"/>
        <rFont val="Arial"/>
        <family val="2"/>
      </rPr>
      <t>Rs.Cr.</t>
    </r>
  </si>
  <si>
    <r>
      <t>Qtr Profit Var </t>
    </r>
    <r>
      <rPr>
        <sz val="11"/>
        <color rgb="FF737373"/>
        <rFont val="Arial"/>
        <family val="2"/>
      </rPr>
      <t>%</t>
    </r>
  </si>
  <si>
    <r>
      <t>Sales Qtr </t>
    </r>
    <r>
      <rPr>
        <sz val="11"/>
        <color rgb="FF737373"/>
        <rFont val="Arial"/>
        <family val="2"/>
      </rPr>
      <t>Rs.Cr.</t>
    </r>
  </si>
  <si>
    <r>
      <t>Qtr Sales Var </t>
    </r>
    <r>
      <rPr>
        <sz val="11"/>
        <color rgb="FF737373"/>
        <rFont val="Arial"/>
        <family val="2"/>
      </rPr>
      <t>%</t>
    </r>
  </si>
  <si>
    <r>
      <t>ROCE </t>
    </r>
    <r>
      <rPr>
        <sz val="11"/>
        <color rgb="FF737373"/>
        <rFont val="Arial"/>
        <family val="2"/>
      </rPr>
      <t>%</t>
    </r>
  </si>
  <si>
    <r>
      <t>EPS 12M </t>
    </r>
    <r>
      <rPr>
        <sz val="11"/>
        <color rgb="FF737373"/>
        <rFont val="Arial"/>
        <family val="2"/>
      </rPr>
      <t>Rs.</t>
    </r>
  </si>
  <si>
    <t>Debt / Eq</t>
  </si>
  <si>
    <t>Int Coverage</t>
  </si>
  <si>
    <r>
      <t>ROE </t>
    </r>
    <r>
      <rPr>
        <sz val="11"/>
        <color rgb="FF737373"/>
        <rFont val="Arial"/>
        <family val="2"/>
      </rPr>
      <t>%</t>
    </r>
  </si>
  <si>
    <r>
      <t>Sales Var 3Yrs </t>
    </r>
    <r>
      <rPr>
        <sz val="11"/>
        <color rgb="FF737373"/>
        <rFont val="Arial"/>
        <family val="2"/>
      </rPr>
      <t>%</t>
    </r>
  </si>
  <si>
    <r>
      <t>Profit Var 3Yrs </t>
    </r>
    <r>
      <rPr>
        <sz val="11"/>
        <color rgb="FF737373"/>
        <rFont val="Arial"/>
        <family val="2"/>
      </rPr>
      <t>%</t>
    </r>
  </si>
  <si>
    <t>CMP / BV</t>
  </si>
  <si>
    <t>HDFC Bank</t>
  </si>
  <si>
    <t>ICICI Bank</t>
  </si>
  <si>
    <t>Kotak Mah. Bank</t>
  </si>
  <si>
    <t>Axis Bank</t>
  </si>
  <si>
    <t>IDBI Bank</t>
  </si>
  <si>
    <t>IndusInd Bank</t>
  </si>
  <si>
    <t>Yes Bank</t>
  </si>
  <si>
    <t>Titan Company</t>
  </si>
  <si>
    <t>Asian Paints</t>
  </si>
  <si>
    <t>Dixon Technolog.</t>
  </si>
  <si>
    <t>Havells India</t>
  </si>
  <si>
    <t>Berger Paints</t>
  </si>
  <si>
    <t>Kalyan Jewellers</t>
  </si>
  <si>
    <t>Voltas</t>
  </si>
  <si>
    <t>Blue Star</t>
  </si>
  <si>
    <t>Amber Enterp.</t>
  </si>
  <si>
    <t>PG Electroplast</t>
  </si>
  <si>
    <t>Crompton Gr. Con</t>
  </si>
  <si>
    <t>Whirlpool India</t>
  </si>
  <si>
    <t>Bata India</t>
  </si>
  <si>
    <t>M &amp; M</t>
  </si>
  <si>
    <t>Maruti Suzuki</t>
  </si>
  <si>
    <t>Tata Motors</t>
  </si>
  <si>
    <t>Hyundai Motor I</t>
  </si>
  <si>
    <t>Force Motors</t>
  </si>
  <si>
    <t>Olectra Greentec</t>
  </si>
  <si>
    <t>Mercury EV-Tech</t>
  </si>
  <si>
    <t>P/E Ratio</t>
  </si>
  <si>
    <t>P/B Ratio</t>
  </si>
  <si>
    <t>Debt to Equity</t>
  </si>
  <si>
    <t>Interest Coverage Ratio</t>
  </si>
  <si>
    <t>EPS</t>
  </si>
  <si>
    <t>Return over 3Y (%)</t>
  </si>
  <si>
    <t>Bajaj Auto</t>
  </si>
  <si>
    <t>Sales Growth 3Y (%)</t>
  </si>
  <si>
    <t>Profit Growth 3Y (%)</t>
  </si>
  <si>
    <t>ROCE (%)</t>
  </si>
  <si>
    <t>YOY Sales Growth (%)</t>
  </si>
  <si>
    <t>YOY Profit Growth (%)</t>
  </si>
  <si>
    <t>ROE ratio</t>
  </si>
  <si>
    <r>
      <t>3Yrs return </t>
    </r>
    <r>
      <rPr>
        <sz val="11"/>
        <color rgb="FF737373"/>
        <rFont val="Arial"/>
        <family val="2"/>
      </rPr>
      <t>%</t>
    </r>
  </si>
  <si>
    <t>Total Score (Weighted)</t>
  </si>
  <si>
    <t>Final Rank</t>
  </si>
  <si>
    <t>Stocks</t>
  </si>
  <si>
    <t>Weightage</t>
  </si>
  <si>
    <t>Metrics</t>
  </si>
  <si>
    <t>inverse metrics, lower the better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</si>
</sst>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1"/>
      <color rgb="FF606F7B"/>
      <name val="Arial"/>
      <family val="2"/>
    </font>
    <font>
      <sz val="11"/>
      <color rgb="FF737373"/>
      <name val="Arial"/>
      <family val="2"/>
    </font>
    <font>
      <sz val="11"/>
      <color rgb="FF22222F"/>
      <name val="Arial"/>
      <family val="2"/>
    </font>
    <font>
      <sz val="11"/>
      <color rgb="FF22222F"/>
      <name val="Arial"/>
      <family val="2"/>
    </font>
    <font>
      <u/>
      <sz val="11"/>
      <color theme="10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Calibri"/>
      <family val="2"/>
      <scheme val="minor"/>
    </font>
    <font>
      <sz val="11"/>
      <color rgb="FF22222F"/>
      <name val="Arial"/>
      <family val="2"/>
    </font>
    <font>
      <sz val="11"/>
      <color rgb="FF606F7B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8F8FC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44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1" fillId="2" borderId="0" xfId="0" applyFont="1" applyFill="1" applyAlignment="1">
      <alignment horizontal="left" vertical="center"/>
    </xf>
    <xf numFmtId="0" fontId="1" fillId="2" borderId="0" xfId="0" applyFont="1" applyFill="1" applyAlignment="1">
      <alignment horizontal="right" vertical="center" wrapText="1"/>
    </xf>
    <xf numFmtId="0" fontId="3" fillId="3" borderId="0" xfId="0" applyFont="1" applyFill="1" applyAlignment="1">
      <alignment horizontal="left" vertical="center" indent="1"/>
    </xf>
    <xf numFmtId="0" fontId="5" fillId="3" borderId="0" xfId="1" applyFill="1" applyAlignment="1">
      <alignment horizontal="left" vertical="center"/>
    </xf>
    <xf numFmtId="0" fontId="3" fillId="3" borderId="0" xfId="0" applyFont="1" applyFill="1" applyAlignment="1">
      <alignment horizontal="right" vertical="center" wrapText="1"/>
    </xf>
    <xf numFmtId="0" fontId="4" fillId="2" borderId="0" xfId="0" applyFont="1" applyFill="1" applyAlignment="1">
      <alignment horizontal="left" vertical="center" indent="1"/>
    </xf>
    <xf numFmtId="0" fontId="5" fillId="2" borderId="0" xfId="1" applyFill="1" applyAlignment="1">
      <alignment horizontal="left" vertical="center"/>
    </xf>
    <xf numFmtId="0" fontId="4" fillId="2" borderId="0" xfId="0" applyFont="1" applyFill="1" applyAlignment="1">
      <alignment horizontal="right" vertical="center" wrapText="1"/>
    </xf>
    <xf numFmtId="0" fontId="4" fillId="3" borderId="0" xfId="0" applyFont="1" applyFill="1" applyAlignment="1">
      <alignment horizontal="left" vertical="center" indent="1"/>
    </xf>
    <xf numFmtId="0" fontId="4" fillId="3" borderId="0" xfId="0" applyFont="1" applyFill="1" applyAlignment="1">
      <alignment horizontal="right" vertical="center" wrapText="1"/>
    </xf>
    <xf numFmtId="0" fontId="3" fillId="2" borderId="0" xfId="0" applyFont="1" applyFill="1" applyAlignment="1">
      <alignment horizontal="right" vertical="center" wrapText="1"/>
    </xf>
    <xf numFmtId="0" fontId="6" fillId="3" borderId="0" xfId="0" applyFont="1" applyFill="1" applyAlignment="1">
      <alignment horizontal="right" vertical="center" wrapText="1"/>
    </xf>
    <xf numFmtId="0" fontId="6" fillId="2" borderId="0" xfId="0" applyFont="1" applyFill="1" applyAlignment="1">
      <alignment horizontal="right" vertical="center" wrapText="1"/>
    </xf>
    <xf numFmtId="0" fontId="7" fillId="0" borderId="1" xfId="0" applyFont="1" applyBorder="1" applyAlignment="1">
      <alignment horizontal="center" vertical="top"/>
    </xf>
    <xf numFmtId="0" fontId="8" fillId="3" borderId="0" xfId="0" applyFont="1" applyFill="1" applyAlignment="1">
      <alignment horizontal="left" vertical="center" indent="1"/>
    </xf>
    <xf numFmtId="0" fontId="8" fillId="3" borderId="0" xfId="0" applyFont="1" applyFill="1" applyAlignment="1">
      <alignment horizontal="right" vertical="center" wrapText="1"/>
    </xf>
    <xf numFmtId="0" fontId="3" fillId="0" borderId="0" xfId="0" applyFont="1" applyAlignment="1">
      <alignment horizontal="right" vertical="center" wrapText="1"/>
    </xf>
    <xf numFmtId="0" fontId="9" fillId="2" borderId="0" xfId="0" applyFont="1" applyFill="1" applyAlignment="1">
      <alignment horizontal="right" vertical="center" wrapText="1"/>
    </xf>
    <xf numFmtId="0" fontId="8" fillId="2" borderId="0" xfId="0" applyFont="1" applyFill="1" applyAlignment="1">
      <alignment horizontal="right" vertical="center" wrapText="1"/>
    </xf>
    <xf numFmtId="0" fontId="0" fillId="4" borderId="0" xfId="0" applyFill="1"/>
    <xf numFmtId="0" fontId="7" fillId="0" borderId="2" xfId="0" applyFont="1" applyBorder="1" applyAlignment="1">
      <alignment horizontal="center" vertical="top"/>
    </xf>
    <xf numFmtId="0" fontId="7" fillId="5" borderId="2" xfId="0" applyFont="1" applyFill="1" applyBorder="1" applyAlignment="1">
      <alignment horizontal="center" vertical="top"/>
    </xf>
    <xf numFmtId="0" fontId="7" fillId="8" borderId="2" xfId="0" applyFont="1" applyFill="1" applyBorder="1" applyAlignment="1">
      <alignment horizontal="center" vertical="top"/>
    </xf>
    <xf numFmtId="0" fontId="7" fillId="7" borderId="2" xfId="0" applyFont="1" applyFill="1" applyBorder="1" applyAlignment="1">
      <alignment horizontal="center" vertical="top"/>
    </xf>
    <xf numFmtId="0" fontId="7" fillId="6" borderId="2" xfId="0" applyFont="1" applyFill="1" applyBorder="1" applyAlignment="1">
      <alignment horizontal="center" vertical="top"/>
    </xf>
    <xf numFmtId="0" fontId="7" fillId="0" borderId="3" xfId="0" applyFont="1" applyBorder="1" applyAlignment="1">
      <alignment horizontal="center" vertical="top"/>
    </xf>
    <xf numFmtId="0" fontId="0" fillId="9" borderId="4" xfId="0" applyFill="1" applyBorder="1" applyAlignment="1">
      <alignment horizontal="center"/>
    </xf>
    <xf numFmtId="0" fontId="0" fillId="9" borderId="5" xfId="0" applyFill="1" applyBorder="1"/>
    <xf numFmtId="0" fontId="0" fillId="9" borderId="7" xfId="0" applyFill="1" applyBorder="1" applyAlignment="1">
      <alignment horizontal="center"/>
    </xf>
    <xf numFmtId="0" fontId="0" fillId="9" borderId="8" xfId="0" applyFill="1" applyBorder="1"/>
    <xf numFmtId="2" fontId="7" fillId="0" borderId="10" xfId="0" applyNumberFormat="1" applyFont="1" applyBorder="1" applyAlignment="1">
      <alignment horizontal="center" vertical="top"/>
    </xf>
    <xf numFmtId="2" fontId="0" fillId="0" borderId="0" xfId="0" applyNumberFormat="1"/>
    <xf numFmtId="2" fontId="0" fillId="9" borderId="5" xfId="0" applyNumberFormat="1" applyFill="1" applyBorder="1"/>
    <xf numFmtId="2" fontId="0" fillId="9" borderId="8" xfId="0" applyNumberFormat="1" applyFill="1" applyBorder="1"/>
    <xf numFmtId="2" fontId="7" fillId="10" borderId="2" xfId="0" applyNumberFormat="1" applyFont="1" applyFill="1" applyBorder="1" applyAlignment="1">
      <alignment horizontal="center" vertical="top"/>
    </xf>
    <xf numFmtId="0" fontId="7" fillId="10" borderId="2" xfId="0" applyFont="1" applyFill="1" applyBorder="1" applyAlignment="1">
      <alignment horizontal="center" vertical="top"/>
    </xf>
    <xf numFmtId="0" fontId="0" fillId="11" borderId="5" xfId="0" applyFill="1" applyBorder="1"/>
    <xf numFmtId="2" fontId="0" fillId="9" borderId="6" xfId="0" applyNumberFormat="1" applyFill="1" applyBorder="1"/>
    <xf numFmtId="2" fontId="0" fillId="9" borderId="9" xfId="0" applyNumberFormat="1" applyFill="1" applyBorder="1"/>
    <xf numFmtId="2" fontId="0" fillId="12" borderId="8" xfId="0" applyNumberFormat="1" applyFill="1" applyBorder="1"/>
    <xf numFmtId="0" fontId="0" fillId="12" borderId="8" xfId="0" applyFill="1" applyBorder="1"/>
    <xf numFmtId="0" fontId="0" fillId="8" borderId="0" xfId="0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screener.in/company/TITAN/consolidated/" TargetMode="External"/><Relationship Id="rId13" Type="http://schemas.openxmlformats.org/officeDocument/2006/relationships/hyperlink" Target="https://www.screener.in/company/KALYANKJIL/consolidated/" TargetMode="External"/><Relationship Id="rId18" Type="http://schemas.openxmlformats.org/officeDocument/2006/relationships/hyperlink" Target="https://www.screener.in/company/CROMPTON/consolidated/" TargetMode="External"/><Relationship Id="rId26" Type="http://schemas.openxmlformats.org/officeDocument/2006/relationships/hyperlink" Target="https://www.screener.in/company/OLECTRA/consolidated/" TargetMode="External"/><Relationship Id="rId3" Type="http://schemas.openxmlformats.org/officeDocument/2006/relationships/hyperlink" Target="https://www.screener.in/company/KOTAKBANK/consolidated/" TargetMode="External"/><Relationship Id="rId21" Type="http://schemas.openxmlformats.org/officeDocument/2006/relationships/hyperlink" Target="https://www.screener.in/company/M&amp;M/consolidated/" TargetMode="External"/><Relationship Id="rId7" Type="http://schemas.openxmlformats.org/officeDocument/2006/relationships/hyperlink" Target="https://www.screener.in/company/YESBANK/consolidated/" TargetMode="External"/><Relationship Id="rId12" Type="http://schemas.openxmlformats.org/officeDocument/2006/relationships/hyperlink" Target="https://www.screener.in/company/BERGEPAINT/consolidated/" TargetMode="External"/><Relationship Id="rId17" Type="http://schemas.openxmlformats.org/officeDocument/2006/relationships/hyperlink" Target="https://www.screener.in/company/PGEL/consolidated/" TargetMode="External"/><Relationship Id="rId25" Type="http://schemas.openxmlformats.org/officeDocument/2006/relationships/hyperlink" Target="https://www.screener.in/company/FORCEMOT/consolidated/" TargetMode="External"/><Relationship Id="rId2" Type="http://schemas.openxmlformats.org/officeDocument/2006/relationships/hyperlink" Target="https://www.screener.in/company/ICICIBANK/consolidated/" TargetMode="External"/><Relationship Id="rId16" Type="http://schemas.openxmlformats.org/officeDocument/2006/relationships/hyperlink" Target="https://www.screener.in/company/AMBER/consolidated/" TargetMode="External"/><Relationship Id="rId20" Type="http://schemas.openxmlformats.org/officeDocument/2006/relationships/hyperlink" Target="https://www.screener.in/company/BATAINDIA/consolidated/" TargetMode="External"/><Relationship Id="rId29" Type="http://schemas.openxmlformats.org/officeDocument/2006/relationships/printerSettings" Target="../printerSettings/printerSettings1.bin"/><Relationship Id="rId1" Type="http://schemas.openxmlformats.org/officeDocument/2006/relationships/hyperlink" Target="https://www.screener.in/company/HDFCBANK/consolidated/" TargetMode="External"/><Relationship Id="rId6" Type="http://schemas.openxmlformats.org/officeDocument/2006/relationships/hyperlink" Target="https://www.screener.in/company/INDUSINDBK/" TargetMode="External"/><Relationship Id="rId11" Type="http://schemas.openxmlformats.org/officeDocument/2006/relationships/hyperlink" Target="https://www.screener.in/company/HAVELLS/consolidated/" TargetMode="External"/><Relationship Id="rId24" Type="http://schemas.openxmlformats.org/officeDocument/2006/relationships/hyperlink" Target="https://www.screener.in/company/HYUNDAI/" TargetMode="External"/><Relationship Id="rId5" Type="http://schemas.openxmlformats.org/officeDocument/2006/relationships/hyperlink" Target="https://www.screener.in/company/IDBI/consolidated/" TargetMode="External"/><Relationship Id="rId15" Type="http://schemas.openxmlformats.org/officeDocument/2006/relationships/hyperlink" Target="https://www.screener.in/company/BLUESTARCO/consolidated/" TargetMode="External"/><Relationship Id="rId23" Type="http://schemas.openxmlformats.org/officeDocument/2006/relationships/hyperlink" Target="https://www.screener.in/company/TATAMOTORS/consolidated/" TargetMode="External"/><Relationship Id="rId28" Type="http://schemas.openxmlformats.org/officeDocument/2006/relationships/hyperlink" Target="https://www.screener.in/company/BAJAJ-AUTO/consolidated/" TargetMode="External"/><Relationship Id="rId10" Type="http://schemas.openxmlformats.org/officeDocument/2006/relationships/hyperlink" Target="https://www.screener.in/company/DIXON/consolidated/" TargetMode="External"/><Relationship Id="rId19" Type="http://schemas.openxmlformats.org/officeDocument/2006/relationships/hyperlink" Target="https://www.screener.in/company/WHIRLPOOL/consolidated/" TargetMode="External"/><Relationship Id="rId4" Type="http://schemas.openxmlformats.org/officeDocument/2006/relationships/hyperlink" Target="https://www.screener.in/company/AXISBANK/consolidated/" TargetMode="External"/><Relationship Id="rId9" Type="http://schemas.openxmlformats.org/officeDocument/2006/relationships/hyperlink" Target="https://www.screener.in/company/ASIANPAINT/consolidated/" TargetMode="External"/><Relationship Id="rId14" Type="http://schemas.openxmlformats.org/officeDocument/2006/relationships/hyperlink" Target="https://www.screener.in/company/VOLTAS/consolidated/" TargetMode="External"/><Relationship Id="rId22" Type="http://schemas.openxmlformats.org/officeDocument/2006/relationships/hyperlink" Target="https://www.screener.in/company/MARUTI/consolidated/" TargetMode="External"/><Relationship Id="rId27" Type="http://schemas.openxmlformats.org/officeDocument/2006/relationships/hyperlink" Target="https://www.screener.in/company/531357/consolidated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786B6-6382-4827-BA51-B5D6F57531D5}">
  <dimension ref="A1:U11"/>
  <sheetViews>
    <sheetView tabSelected="1" zoomScaleNormal="100" workbookViewId="0">
      <selection activeCell="H15" sqref="H15"/>
    </sheetView>
  </sheetViews>
  <sheetFormatPr defaultRowHeight="14.5" x14ac:dyDescent="0.35"/>
  <cols>
    <col min="1" max="1" width="16.1796875" bestFit="1" customWidth="1"/>
    <col min="3" max="3" width="11.81640625" style="33" bestFit="1" customWidth="1"/>
    <col min="5" max="5" width="16.453125" style="33" bestFit="1" customWidth="1"/>
    <col min="6" max="6" width="8.7265625" customWidth="1"/>
    <col min="7" max="7" width="11.81640625" style="33" bestFit="1" customWidth="1"/>
    <col min="8" max="8" width="13" bestFit="1" customWidth="1"/>
    <col min="9" max="9" width="20.6328125" style="33" bestFit="1" customWidth="1"/>
    <col min="10" max="10" width="17.6328125" bestFit="1" customWidth="1"/>
    <col min="11" max="11" width="18.1796875" style="33" bestFit="1" customWidth="1"/>
    <col min="12" max="12" width="20.6328125" bestFit="1" customWidth="1"/>
    <col min="13" max="13" width="20.08984375" style="33" bestFit="1" customWidth="1"/>
    <col min="14" max="14" width="16.453125" bestFit="1" customWidth="1"/>
    <col min="15" max="15" width="11.81640625" style="33" bestFit="1" customWidth="1"/>
    <col min="16" max="16" width="17.6328125" bestFit="1" customWidth="1"/>
    <col min="17" max="17" width="11.81640625" style="33" bestFit="1" customWidth="1"/>
    <col min="18" max="18" width="18.1796875" bestFit="1" customWidth="1"/>
    <col min="19" max="19" width="11.81640625" style="33" bestFit="1" customWidth="1"/>
    <col min="20" max="20" width="20.08984375" bestFit="1" customWidth="1"/>
  </cols>
  <sheetData>
    <row r="1" spans="1:21" ht="15" thickBot="1" x14ac:dyDescent="0.4">
      <c r="A1" s="22" t="s">
        <v>61</v>
      </c>
      <c r="B1" s="23" t="s">
        <v>57</v>
      </c>
      <c r="C1" s="32" t="s">
        <v>62</v>
      </c>
      <c r="D1" s="23" t="s">
        <v>54</v>
      </c>
      <c r="E1" s="36" t="s">
        <v>62</v>
      </c>
      <c r="F1" s="23" t="s">
        <v>49</v>
      </c>
      <c r="G1" s="36" t="s">
        <v>62</v>
      </c>
      <c r="H1" s="24" t="s">
        <v>45</v>
      </c>
      <c r="I1" s="36" t="s">
        <v>62</v>
      </c>
      <c r="J1" s="25" t="s">
        <v>47</v>
      </c>
      <c r="K1" s="36" t="s">
        <v>62</v>
      </c>
      <c r="L1" s="25" t="s">
        <v>48</v>
      </c>
      <c r="M1" s="36" t="s">
        <v>62</v>
      </c>
      <c r="N1" s="26" t="s">
        <v>50</v>
      </c>
      <c r="O1" s="36" t="s">
        <v>62</v>
      </c>
      <c r="P1" s="26" t="s">
        <v>52</v>
      </c>
      <c r="Q1" s="36" t="s">
        <v>62</v>
      </c>
      <c r="R1" s="26" t="s">
        <v>53</v>
      </c>
      <c r="S1" s="36" t="s">
        <v>62</v>
      </c>
      <c r="T1" s="15" t="s">
        <v>59</v>
      </c>
      <c r="U1" s="15" t="s">
        <v>60</v>
      </c>
    </row>
    <row r="2" spans="1:21" x14ac:dyDescent="0.35">
      <c r="A2" s="28" t="s">
        <v>62</v>
      </c>
      <c r="B2" s="38">
        <v>40</v>
      </c>
      <c r="C2" s="34"/>
      <c r="D2" s="29"/>
      <c r="E2" s="34"/>
      <c r="F2" s="29"/>
      <c r="G2" s="34"/>
      <c r="H2" s="38">
        <v>20</v>
      </c>
      <c r="I2" s="34"/>
      <c r="J2" s="38">
        <v>10</v>
      </c>
      <c r="K2" s="34"/>
      <c r="L2" s="29"/>
      <c r="M2" s="34"/>
      <c r="N2" s="38">
        <v>30</v>
      </c>
      <c r="O2" s="34"/>
      <c r="P2" s="29"/>
      <c r="Q2" s="34"/>
      <c r="R2" s="29"/>
      <c r="S2" s="39"/>
    </row>
    <row r="3" spans="1:21" ht="15" thickBot="1" x14ac:dyDescent="0.4">
      <c r="A3" s="30" t="s">
        <v>63</v>
      </c>
      <c r="B3" s="31">
        <v>13.33</v>
      </c>
      <c r="C3" s="35"/>
      <c r="D3" s="31">
        <v>13.33</v>
      </c>
      <c r="E3" s="35"/>
      <c r="F3" s="31">
        <v>13.34</v>
      </c>
      <c r="G3" s="35"/>
      <c r="H3" s="31">
        <v>20</v>
      </c>
      <c r="I3" s="35"/>
      <c r="J3" s="31">
        <v>5</v>
      </c>
      <c r="K3" s="35"/>
      <c r="L3" s="31">
        <v>5</v>
      </c>
      <c r="M3" s="35"/>
      <c r="N3" s="31">
        <v>10</v>
      </c>
      <c r="O3" s="35"/>
      <c r="P3" s="31">
        <v>10</v>
      </c>
      <c r="Q3" s="35"/>
      <c r="R3" s="31">
        <v>10</v>
      </c>
      <c r="S3" s="40"/>
    </row>
    <row r="4" spans="1:21" x14ac:dyDescent="0.35">
      <c r="A4" s="15" t="s">
        <v>31</v>
      </c>
      <c r="B4">
        <f>VLOOKUP(A4,Data2!B1:O28,14,FALSE)</f>
        <v>13.35</v>
      </c>
      <c r="C4" s="33">
        <f>(B4 - MIN($B$4:$B$8)) / (MAX($B$4:$B$8) - MIN($B$4:$B$8))*$B$3</f>
        <v>4.7917533039647573</v>
      </c>
      <c r="D4">
        <f>VLOOKUP(A4,Data2!B1:R29,10,FALSE)</f>
        <v>17.64</v>
      </c>
      <c r="E4" s="33">
        <f>(D4 - MIN($D$4:$D$8)) / (MAX($D$4:$D$8) - MIN($D$4:$D$8))*$D$3</f>
        <v>4.6922407267221811</v>
      </c>
      <c r="F4">
        <f>VLOOKUP(A4,Data2!B1:R29,11,FALSE)</f>
        <v>25.43</v>
      </c>
      <c r="G4" s="33">
        <f>(F4 - MIN($F$4:$F$8)) / (MAX($F$4:$F$8) - MIN($F$4:$F$8))*$F$3</f>
        <v>11.137672799602187</v>
      </c>
      <c r="H4">
        <f>VLOOKUP(A4,Data2!B1:R29,3,FALSE)</f>
        <v>54.95</v>
      </c>
      <c r="I4" s="33">
        <f>(MAX($H$4:$H$8) - H4) / (MAX($H$4:$H$8) - MIN($H$4:$H$8))*$H$3</f>
        <v>9.8005884275907142</v>
      </c>
      <c r="J4">
        <f>VLOOKUP(A4,Data2!B1:R29,12,FALSE)</f>
        <v>0.14000000000000001</v>
      </c>
      <c r="K4" s="33">
        <f t="shared" ref="K4:K8" si="0">(MAX($J$4:$J$8) - J4) / (MAX($J$4:$J$8) - MIN($J$4:$J$8))*$J$3</f>
        <v>0</v>
      </c>
      <c r="L4">
        <f>VLOOKUP(A4,Data2!B1:R29,13,FALSE)</f>
        <v>19.920000000000002</v>
      </c>
      <c r="M4" s="33">
        <f>(L4 - MIN($L$4:$L$8)) / (MAX($L$4:$L$8) - MIN($L$4:$L$8))*$L$3</f>
        <v>1.2480834099969338</v>
      </c>
      <c r="N4">
        <f>VLOOKUP(A4,Data2!B1:S29,18,FALSE)</f>
        <v>10.37</v>
      </c>
      <c r="O4" s="33">
        <f>(N4 - MIN($N$4:$N$8)) / (MAX($N$4:$N$8) - MIN($N$4:$N$8))*$N$3</f>
        <v>2.8668363019508054</v>
      </c>
      <c r="P4">
        <f>VLOOKUP(A4,Data2!B1:R29,15,FALSE)</f>
        <v>24.77</v>
      </c>
      <c r="Q4" s="33">
        <f>(P4 - MIN($P$4:$P$8)) / (MAX($P$4:$P$8) - MIN($P$4:$P$8))*$P$3</f>
        <v>9.6096984033116488</v>
      </c>
      <c r="R4">
        <f>VLOOKUP(A4,Data2!B1:R29,16,FALSE)</f>
        <v>17.71</v>
      </c>
      <c r="S4" s="33">
        <f>(R4 - MIN($R$4:$R$8)) / (MAX($R$4:$R$8) - MIN($R$4:$R$8))*$R$3</f>
        <v>3.6286137879911045</v>
      </c>
      <c r="T4">
        <f>SUM(C4+E4+G4+I4+K4+M4+O4+Q4+S4)</f>
        <v>47.775487161130336</v>
      </c>
      <c r="U4">
        <f>RANK(T4,$T$4:$T$8,0)</f>
        <v>3</v>
      </c>
    </row>
    <row r="5" spans="1:21" x14ac:dyDescent="0.35">
      <c r="A5" s="15" t="s">
        <v>28</v>
      </c>
      <c r="B5">
        <f>VLOOKUP(A5,Data2!B2:O29,14,FALSE)</f>
        <v>18.79</v>
      </c>
      <c r="C5" s="33">
        <f t="shared" ref="C5:C8" si="1">(B5 - MIN($B$4:$B$8)) / (MAX($B$4:$B$8) - MIN($B$4:$B$8))*$B$3</f>
        <v>11.180757709251099</v>
      </c>
      <c r="D5">
        <f>VLOOKUP(A5,Data2!B2:R30,10,FALSE)</f>
        <v>25.32</v>
      </c>
      <c r="E5" s="33">
        <f t="shared" ref="E5:E8" si="2">(D5 - MIN($D$4:$D$8)) / (MAX($D$4:$D$8) - MIN($D$4:$D$8))*$D$3</f>
        <v>12.442006056018169</v>
      </c>
      <c r="F5">
        <f>VLOOKUP(A5,Data2!B2:R30,11,FALSE)</f>
        <v>22.52</v>
      </c>
      <c r="G5" s="33">
        <f t="shared" ref="G5:G8" si="3">(F5 - MIN($F$4:$F$8)) / (MAX($F$4:$F$8) - MIN($F$4:$F$8))*$F$3</f>
        <v>9.207319741422177</v>
      </c>
      <c r="H5">
        <f>VLOOKUP(A5,Data2!B2:R30,3,FALSE)</f>
        <v>69.94</v>
      </c>
      <c r="I5" s="33">
        <f t="shared" ref="I5:I8" si="4">(MAX($H$4:$H$8) - H5) / (MAX($H$4:$H$8) - MIN($H$4:$H$8))*$H$3</f>
        <v>0</v>
      </c>
      <c r="J5">
        <f>VLOOKUP(A5,Data2!B2:R30,12,FALSE)</f>
        <v>0.04</v>
      </c>
      <c r="K5" s="33">
        <f t="shared" si="0"/>
        <v>4.1666666666666661</v>
      </c>
      <c r="L5">
        <f>VLOOKUP(A5,Data2!B2:R30,13,FALSE)</f>
        <v>44.39</v>
      </c>
      <c r="M5" s="33">
        <f t="shared" ref="M5:M8" si="5">(L5 - MIN($L$4:$L$8)) / (MAX($L$4:$L$8) - MIN($L$4:$L$8))*$L$3</f>
        <v>5</v>
      </c>
      <c r="N5">
        <f>VLOOKUP(A5,Data2!B2:S30,18,FALSE)</f>
        <v>8.17</v>
      </c>
      <c r="O5" s="33">
        <f t="shared" ref="O5:O8" si="6">(N5 - MIN($N$4:$N$8)) / (MAX($N$4:$N$8) - MIN($N$4:$N$8))*$N$3</f>
        <v>2.4936386768447836</v>
      </c>
      <c r="P5">
        <f>VLOOKUP(A5,Data2!B2:R30,15,FALSE)</f>
        <v>16.04</v>
      </c>
      <c r="Q5" s="33">
        <f t="shared" ref="Q5:Q8" si="7">(P5 - MIN($P$4:$P$8)) / (MAX($P$4:$P$8) - MIN($P$4:$P$8))*$P$3</f>
        <v>4.4470727380248372</v>
      </c>
      <c r="R5">
        <f>VLOOKUP(A5,Data2!B2:R30,16,FALSE)</f>
        <v>7.37</v>
      </c>
      <c r="S5" s="33">
        <f t="shared" ref="S5:S8" si="8">(R5 - MIN($R$4:$R$8)) / (MAX($R$4:$R$8) - MIN($R$4:$R$8))*$R$3</f>
        <v>1.7123795404002964</v>
      </c>
      <c r="T5">
        <f t="shared" ref="T5:T8" si="9">SUM(C5+E5+G5+I5+K5+M5+O5+Q5+S5)</f>
        <v>50.649841128628026</v>
      </c>
      <c r="U5">
        <f t="shared" ref="U5:U8" si="10">RANK(T5,$T$4:$T$8,0)</f>
        <v>2</v>
      </c>
    </row>
    <row r="6" spans="1:21" x14ac:dyDescent="0.35">
      <c r="A6" s="15" t="s">
        <v>35</v>
      </c>
      <c r="B6">
        <f>VLOOKUP(A6,Data2!B3:O30,14,FALSE)</f>
        <v>17.399999999999999</v>
      </c>
      <c r="C6" s="33">
        <f t="shared" si="1"/>
        <v>9.5482731277533013</v>
      </c>
      <c r="D6">
        <f>VLOOKUP(A6,Data2!B3:R31,10,FALSE)</f>
        <v>19.010000000000002</v>
      </c>
      <c r="E6" s="33">
        <f t="shared" si="2"/>
        <v>6.0746858440575338</v>
      </c>
      <c r="F6">
        <f>VLOOKUP(A6,Data2!B3:R31,11,FALSE)</f>
        <v>8.64</v>
      </c>
      <c r="G6" s="33">
        <f t="shared" si="3"/>
        <v>0</v>
      </c>
      <c r="H6">
        <f>VLOOKUP(A6,Data2!B3:R31,3,FALSE)</f>
        <v>39.35</v>
      </c>
      <c r="I6" s="33">
        <f t="shared" si="4"/>
        <v>20</v>
      </c>
      <c r="J6">
        <f>VLOOKUP(A6,Data2!B3:R31,12,FALSE)</f>
        <v>0.14000000000000001</v>
      </c>
      <c r="K6" s="33">
        <f t="shared" si="0"/>
        <v>0</v>
      </c>
      <c r="L6">
        <f>VLOOKUP(A6,Data2!B3:R31,13,FALSE)</f>
        <v>16.760000000000002</v>
      </c>
      <c r="M6" s="33">
        <f t="shared" si="5"/>
        <v>0.76356945722171155</v>
      </c>
      <c r="N6">
        <f>VLOOKUP(A6,Data2!B3:S31,18,FALSE)</f>
        <v>-3.78</v>
      </c>
      <c r="O6" s="33">
        <f t="shared" si="6"/>
        <v>0.46649703138252763</v>
      </c>
      <c r="P6">
        <f>VLOOKUP(A6,Data2!B3:R31,15,FALSE)</f>
        <v>13.39</v>
      </c>
      <c r="Q6" s="33">
        <f t="shared" si="7"/>
        <v>2.8799526907155535</v>
      </c>
      <c r="R6">
        <f>VLOOKUP(A6,Data2!B3:R31,16,FALSE)</f>
        <v>-1.87</v>
      </c>
      <c r="S6" s="33">
        <f t="shared" si="8"/>
        <v>0</v>
      </c>
      <c r="T6">
        <f t="shared" si="9"/>
        <v>39.732978151130631</v>
      </c>
      <c r="U6">
        <f t="shared" si="10"/>
        <v>4</v>
      </c>
    </row>
    <row r="7" spans="1:21" x14ac:dyDescent="0.35">
      <c r="A7" s="15" t="s">
        <v>36</v>
      </c>
      <c r="B7">
        <f>VLOOKUP(A7,Data2!B4:O31,14,FALSE)</f>
        <v>9.27</v>
      </c>
      <c r="C7" s="33">
        <f t="shared" si="1"/>
        <v>0</v>
      </c>
      <c r="D7">
        <f>VLOOKUP(A7,Data2!B4:R32,10,FALSE)</f>
        <v>12.99</v>
      </c>
      <c r="E7" s="33">
        <f t="shared" si="2"/>
        <v>0</v>
      </c>
      <c r="F7">
        <f>VLOOKUP(A7,Data2!B4:R32,11,FALSE)</f>
        <v>28.3</v>
      </c>
      <c r="G7" s="33">
        <f t="shared" si="3"/>
        <v>13.041491795126802</v>
      </c>
      <c r="H7">
        <f>VLOOKUP(A7,Data2!B4:R32,3,FALSE)</f>
        <v>51.91</v>
      </c>
      <c r="I7" s="33">
        <f t="shared" si="4"/>
        <v>11.788166067342271</v>
      </c>
      <c r="J7">
        <f>VLOOKUP(A7,Data2!B4:R32,12,FALSE)</f>
        <v>0.02</v>
      </c>
      <c r="K7" s="33">
        <f t="shared" si="0"/>
        <v>5</v>
      </c>
      <c r="L7">
        <f>VLOOKUP(A7,Data2!B4:R32,13,FALSE)</f>
        <v>11.78</v>
      </c>
      <c r="M7" s="33">
        <f t="shared" si="5"/>
        <v>0</v>
      </c>
      <c r="N7">
        <f>VLOOKUP(A7,Data2!B4:S32,18,FALSE)</f>
        <v>-6.53</v>
      </c>
      <c r="O7" s="33">
        <f t="shared" si="6"/>
        <v>0</v>
      </c>
      <c r="P7">
        <f>VLOOKUP(A7,Data2!B4:R32,15,FALSE)</f>
        <v>8.52</v>
      </c>
      <c r="Q7" s="33">
        <f t="shared" si="7"/>
        <v>0</v>
      </c>
      <c r="R7">
        <f>VLOOKUP(A7,Data2!B4:R32,16,FALSE)</f>
        <v>7.26</v>
      </c>
      <c r="S7" s="33">
        <f t="shared" si="8"/>
        <v>1.6919940696812452</v>
      </c>
      <c r="T7">
        <f t="shared" si="9"/>
        <v>31.52165193215032</v>
      </c>
      <c r="U7">
        <f t="shared" si="10"/>
        <v>5</v>
      </c>
    </row>
    <row r="8" spans="1:21" x14ac:dyDescent="0.35">
      <c r="A8" s="15" t="s">
        <v>32</v>
      </c>
      <c r="B8">
        <f>VLOOKUP(A8,Data2!B5:O32,14,FALSE)</f>
        <v>20.62</v>
      </c>
      <c r="C8" s="33">
        <f t="shared" si="1"/>
        <v>13.33</v>
      </c>
      <c r="D8">
        <f>VLOOKUP(A8,Data2!B5:R33,10,FALSE)</f>
        <v>26.2</v>
      </c>
      <c r="E8" s="33">
        <f t="shared" si="2"/>
        <v>13.33</v>
      </c>
      <c r="F8">
        <f>VLOOKUP(A8,Data2!B5:R33,11,FALSE)</f>
        <v>28.75</v>
      </c>
      <c r="G8" s="33">
        <f t="shared" si="3"/>
        <v>13.34</v>
      </c>
      <c r="H8">
        <f>VLOOKUP(A8,Data2!B5:R33,3,FALSE)</f>
        <v>61.47</v>
      </c>
      <c r="I8" s="33">
        <f t="shared" si="4"/>
        <v>5.5377574370709386</v>
      </c>
      <c r="J8">
        <f>VLOOKUP(A8,Data2!B5:R33,12,FALSE)</f>
        <v>0.12</v>
      </c>
      <c r="K8" s="33">
        <f t="shared" si="0"/>
        <v>0.83333333333333393</v>
      </c>
      <c r="L8">
        <f>VLOOKUP(A8,Data2!B5:R33,13,FALSE)</f>
        <v>16.920000000000002</v>
      </c>
      <c r="M8" s="33">
        <f t="shared" si="5"/>
        <v>0.78810180926096329</v>
      </c>
      <c r="N8">
        <f>VLOOKUP(A8,Data2!B5:S33,18,FALSE)</f>
        <v>52.42</v>
      </c>
      <c r="O8" s="33">
        <f t="shared" si="6"/>
        <v>10</v>
      </c>
      <c r="P8">
        <f>VLOOKUP(A8,Data2!B5:R33,15,FALSE)</f>
        <v>25.43</v>
      </c>
      <c r="Q8" s="33">
        <f t="shared" si="7"/>
        <v>10</v>
      </c>
      <c r="R8">
        <f>VLOOKUP(A8,Data2!B5:R33,16,FALSE)</f>
        <v>52.09</v>
      </c>
      <c r="S8" s="33">
        <f t="shared" si="8"/>
        <v>10</v>
      </c>
      <c r="T8">
        <f t="shared" si="9"/>
        <v>77.159192579665245</v>
      </c>
      <c r="U8">
        <f t="shared" si="10"/>
        <v>1</v>
      </c>
    </row>
    <row r="9" spans="1:21" x14ac:dyDescent="0.35">
      <c r="T9" s="43">
        <f>AVERAGE(T4:T8)</f>
        <v>49.367830190540914</v>
      </c>
    </row>
    <row r="10" spans="1:21" x14ac:dyDescent="0.35">
      <c r="H10" s="24" t="s">
        <v>45</v>
      </c>
      <c r="J10" s="25" t="s">
        <v>47</v>
      </c>
    </row>
    <row r="11" spans="1:21" x14ac:dyDescent="0.35">
      <c r="H11" t="s">
        <v>64</v>
      </c>
      <c r="J11" t="s">
        <v>64</v>
      </c>
    </row>
  </sheetData>
  <conditionalFormatting sqref="U4:U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777CB-E21D-442D-8194-6812A465A28B}">
  <dimension ref="A1:U12"/>
  <sheetViews>
    <sheetView topLeftCell="N1" zoomScaleNormal="100" workbookViewId="0">
      <selection activeCell="S9" sqref="S9"/>
    </sheetView>
  </sheetViews>
  <sheetFormatPr defaultRowHeight="14.5" x14ac:dyDescent="0.35"/>
  <cols>
    <col min="1" max="1" width="15.26953125" bestFit="1" customWidth="1"/>
    <col min="3" max="3" width="15.453125" style="33" bestFit="1" customWidth="1"/>
    <col min="5" max="5" width="13" style="33" bestFit="1" customWidth="1"/>
    <col min="7" max="7" width="12.453125" style="33" bestFit="1" customWidth="1"/>
    <col min="8" max="8" width="13" bestFit="1" customWidth="1"/>
    <col min="9" max="9" width="13" customWidth="1"/>
    <col min="10" max="10" width="20.6328125" bestFit="1" customWidth="1"/>
    <col min="11" max="11" width="20.6328125" style="33" customWidth="1"/>
    <col min="12" max="13" width="20.6328125" customWidth="1"/>
    <col min="14" max="14" width="17.6328125" bestFit="1" customWidth="1"/>
    <col min="15" max="15" width="17.6328125" customWidth="1"/>
    <col min="16" max="16" width="18.1796875" bestFit="1" customWidth="1"/>
    <col min="17" max="18" width="18.1796875" customWidth="1"/>
    <col min="19" max="19" width="18.1796875" style="33" customWidth="1"/>
    <col min="20" max="20" width="20.08984375" bestFit="1" customWidth="1"/>
  </cols>
  <sheetData>
    <row r="1" spans="1:21" ht="15" thickBot="1" x14ac:dyDescent="0.4">
      <c r="A1" s="22" t="s">
        <v>61</v>
      </c>
      <c r="B1" s="23" t="s">
        <v>57</v>
      </c>
      <c r="C1" s="32" t="s">
        <v>62</v>
      </c>
      <c r="D1" s="23" t="s">
        <v>54</v>
      </c>
      <c r="E1" s="36" t="s">
        <v>62</v>
      </c>
      <c r="F1" s="23" t="s">
        <v>49</v>
      </c>
      <c r="G1" s="36" t="s">
        <v>62</v>
      </c>
      <c r="H1" s="24" t="s">
        <v>45</v>
      </c>
      <c r="I1" s="37" t="s">
        <v>62</v>
      </c>
      <c r="J1" s="25" t="s">
        <v>47</v>
      </c>
      <c r="K1" s="37" t="s">
        <v>62</v>
      </c>
      <c r="L1" s="25" t="s">
        <v>48</v>
      </c>
      <c r="M1" s="37" t="s">
        <v>62</v>
      </c>
      <c r="N1" s="26" t="s">
        <v>50</v>
      </c>
      <c r="O1" s="37" t="s">
        <v>62</v>
      </c>
      <c r="P1" s="26" t="s">
        <v>52</v>
      </c>
      <c r="Q1" s="37" t="s">
        <v>62</v>
      </c>
      <c r="R1" s="26" t="s">
        <v>53</v>
      </c>
      <c r="S1" s="37" t="s">
        <v>62</v>
      </c>
      <c r="T1" s="15" t="s">
        <v>59</v>
      </c>
      <c r="U1" s="15" t="s">
        <v>60</v>
      </c>
    </row>
    <row r="2" spans="1:21" x14ac:dyDescent="0.35">
      <c r="A2" s="28" t="s">
        <v>62</v>
      </c>
      <c r="B2" s="38">
        <v>35</v>
      </c>
      <c r="C2" s="34"/>
      <c r="D2" s="29"/>
      <c r="E2" s="34"/>
      <c r="F2" s="29"/>
      <c r="G2" s="34"/>
      <c r="H2" s="38">
        <v>20</v>
      </c>
      <c r="I2" s="29"/>
      <c r="J2" s="38">
        <v>30</v>
      </c>
      <c r="K2" s="34"/>
      <c r="L2" s="29"/>
      <c r="M2" s="29"/>
      <c r="N2" s="38">
        <v>15</v>
      </c>
      <c r="O2" s="29"/>
      <c r="P2" s="29"/>
      <c r="Q2" s="29"/>
      <c r="R2" s="29"/>
      <c r="S2" s="39"/>
    </row>
    <row r="3" spans="1:21" ht="15" thickBot="1" x14ac:dyDescent="0.4">
      <c r="A3" s="30" t="s">
        <v>63</v>
      </c>
      <c r="B3" s="31">
        <v>11.67</v>
      </c>
      <c r="C3" s="35"/>
      <c r="D3" s="31">
        <v>11.66</v>
      </c>
      <c r="E3" s="35"/>
      <c r="F3" s="31">
        <v>11.67</v>
      </c>
      <c r="G3" s="35"/>
      <c r="H3" s="31">
        <v>20</v>
      </c>
      <c r="I3" s="31"/>
      <c r="J3" s="31">
        <v>15</v>
      </c>
      <c r="K3" s="35"/>
      <c r="L3" s="31">
        <v>15</v>
      </c>
      <c r="M3" s="31"/>
      <c r="N3" s="31">
        <v>5</v>
      </c>
      <c r="O3" s="31"/>
      <c r="P3" s="31">
        <v>5</v>
      </c>
      <c r="Q3" s="31"/>
      <c r="R3" s="31">
        <v>5</v>
      </c>
      <c r="S3" s="40"/>
    </row>
    <row r="4" spans="1:21" x14ac:dyDescent="0.35">
      <c r="A4" s="27" t="s">
        <v>18</v>
      </c>
      <c r="B4">
        <f>VLOOKUP(A4,Data2!B1:O28,14,FALSE)</f>
        <v>14.45</v>
      </c>
      <c r="C4" s="33">
        <f>(B4 - MIN($B$4:$B$8)) / (MAX($B$4:$B$8) - MIN($B$4:$B$8))*$B$3</f>
        <v>2.3762443438914</v>
      </c>
      <c r="D4">
        <f>VLOOKUP(A4,Data2!B1:R29,10,FALSE)</f>
        <v>7.51</v>
      </c>
      <c r="E4" s="33">
        <f>(D4 - MIN($D$4:$D$8)) / (MAX($D$4:$D$8) - MIN($D$4:$D$8))*$D$3</f>
        <v>6.1235971223021561</v>
      </c>
      <c r="F4">
        <f>VLOOKUP(A4,Data2!B1:R29,11,FALSE)</f>
        <v>92.26</v>
      </c>
      <c r="G4" s="33">
        <f>(F4 - MIN($F$4:$F$8)) / (MAX($F$4:$F$8) - MIN($F$4:$F$8))*$F$3</f>
        <v>9.5331761762724909</v>
      </c>
      <c r="H4">
        <f>VLOOKUP(A4,Data2!B1:R29,3,FALSE)</f>
        <v>22</v>
      </c>
      <c r="I4" s="33">
        <f>(MAX($H$4:$H$8) - H4) / (MAX($H$4:$H$8) - MIN($H$4:$H$8))*$H$3</f>
        <v>0</v>
      </c>
      <c r="J4">
        <f>VLOOKUP(A4,Data2!B1:R29,12,FALSE)</f>
        <v>6.41</v>
      </c>
      <c r="K4" s="33">
        <f>(MAX($J$4:$J$8) - J4) / (MAX($J$4:$J$8) - MIN($J$4:$J$8))*$J$3</f>
        <v>4.1689373297002703</v>
      </c>
      <c r="L4">
        <f>VLOOKUP(A4,Data2!B1:R29,13,FALSE)</f>
        <v>1.5</v>
      </c>
      <c r="M4" s="33">
        <f>(L4 - MIN($L$4:$L$8)) / (MAX($L$4:$L$8) - MIN($L$4:$L$8))*$L$3</f>
        <v>0</v>
      </c>
      <c r="N4">
        <f>VLOOKUP(A4,Data2!B1:S29,18,FALSE)</f>
        <v>12.98</v>
      </c>
      <c r="O4" s="33">
        <f>(N4 - MIN($N$4:$N$8)) / (MAX($N$4:$N$8) - MIN($N$4:$N$8))*$N$3</f>
        <v>1.017048794826573</v>
      </c>
      <c r="P4">
        <f>VLOOKUP(A4,Data2!B1:R29,15,FALSE)</f>
        <v>35.26</v>
      </c>
      <c r="Q4" s="33">
        <f>(P4 - MIN($P$4:$P$8)) / (MAX($P$4:$P$8) - MIN($P$4:$P$8))*$P$3</f>
        <v>5</v>
      </c>
      <c r="R4">
        <f>VLOOKUP(A4,Data2!B1:R29,16,FALSE)</f>
        <v>22.98</v>
      </c>
      <c r="S4" s="33">
        <f>(R4 - MIN($R$4:$R$8)) / (MAX($R$4:$R$8) - MIN($R$4:$R$8))*$R$3</f>
        <v>0.14925373134328362</v>
      </c>
      <c r="T4">
        <f>SUM(C4+E4+G4+I4+K4+M4+O4+Q4+S4)</f>
        <v>28.368257498336174</v>
      </c>
      <c r="U4">
        <f>RANK(T4,$T$4:$T$8,0)</f>
        <v>5</v>
      </c>
    </row>
    <row r="5" spans="1:21" x14ac:dyDescent="0.35">
      <c r="A5" s="15" t="s">
        <v>19</v>
      </c>
      <c r="B5">
        <f>VLOOKUP(A5,Data2!B2:O29,14,FALSE)</f>
        <v>17.97</v>
      </c>
      <c r="C5" s="33">
        <f t="shared" ref="C5:C8" si="0">(B5 - MIN($B$4:$B$8)) / (MAX($B$4:$B$8) - MIN($B$4:$B$8))*$B$3</f>
        <v>11.67</v>
      </c>
      <c r="D5">
        <f>VLOOKUP(A5,Data2!B2:R30,10,FALSE)</f>
        <v>7.88</v>
      </c>
      <c r="E5" s="33">
        <f t="shared" ref="E5:E8" si="1">(D5 - MIN($D$4:$D$8)) / (MAX($D$4:$D$8) - MIN($D$4:$D$8))*$D$3</f>
        <v>9.2273381294964025</v>
      </c>
      <c r="F5">
        <f>VLOOKUP(A5,Data2!B2:R30,11,FALSE)</f>
        <v>74.58</v>
      </c>
      <c r="G5" s="33">
        <f t="shared" ref="G5:G8" si="2">(F5 - MIN($F$4:$F$8)) / (MAX($F$4:$F$8) - MIN($F$4:$F$8))*$F$3</f>
        <v>7.5479399595881835</v>
      </c>
      <c r="H5">
        <f>VLOOKUP(A5,Data2!B2:R30,3,FALSE)</f>
        <v>20.09</v>
      </c>
      <c r="I5" s="33">
        <f t="shared" ref="I5:I8" si="3">(MAX($H$4:$H$8) - H5) / (MAX($H$4:$H$8) - MIN($H$4:$H$8))*$H$3</f>
        <v>3.9381443298969074</v>
      </c>
      <c r="J5">
        <f>VLOOKUP(A5,Data2!B2:R30,12,FALSE)</f>
        <v>5.97</v>
      </c>
      <c r="K5" s="33">
        <f t="shared" ref="K5:K8" si="4">(MAX($J$4:$J$8) - J5) / (MAX($J$4:$J$8) - MIN($J$4:$J$8))*$J$3</f>
        <v>5.9673024523160763</v>
      </c>
      <c r="L5">
        <f>VLOOKUP(A5,Data2!B2:R30,13,FALSE)</f>
        <v>1.83</v>
      </c>
      <c r="M5" s="33">
        <f t="shared" ref="M5:M8" si="5">(L5 - MIN($L$4:$L$8)) / (MAX($L$4:$L$8) - MIN($L$4:$L$8))*$L$3</f>
        <v>9.5192307692307701</v>
      </c>
      <c r="N5">
        <f>VLOOKUP(A5,Data2!B2:S30,18,FALSE)</f>
        <v>22.81</v>
      </c>
      <c r="O5" s="33">
        <f t="shared" ref="O5:O8" si="6">(N5 - MIN($N$4:$N$8)) / (MAX($N$4:$N$8) - MIN($N$4:$N$8))*$N$3</f>
        <v>2.4617871840094065</v>
      </c>
      <c r="P5">
        <f>VLOOKUP(A5,Data2!B2:R30,15,FALSE)</f>
        <v>25</v>
      </c>
      <c r="Q5" s="33">
        <f t="shared" ref="Q5:Q8" si="7">(P5 - MIN($P$4:$P$8)) / (MAX($P$4:$P$8) - MIN($P$4:$P$8))*$P$3</f>
        <v>2.2741764080765146</v>
      </c>
      <c r="R5">
        <f>VLOOKUP(A5,Data2!B2:R30,16,FALSE)</f>
        <v>26.67</v>
      </c>
      <c r="S5" s="33">
        <f t="shared" ref="S5:S8" si="8">(R5 - MIN($R$4:$R$8)) / (MAX($R$4:$R$8) - MIN($R$4:$R$8))*$R$3</f>
        <v>0.98371777476255129</v>
      </c>
      <c r="T5">
        <f t="shared" ref="T5:T8" si="9">SUM(C5+E5+G5+I5+K5+M5+O5+Q5+S5)</f>
        <v>53.589637007376822</v>
      </c>
      <c r="U5">
        <f t="shared" ref="U5:U8" si="10">RANK(T5,$T$4:$T$8,0)</f>
        <v>2</v>
      </c>
    </row>
    <row r="6" spans="1:21" x14ac:dyDescent="0.35">
      <c r="A6" s="15" t="s">
        <v>22</v>
      </c>
      <c r="B6">
        <f>VLOOKUP(A6,Data2!B3:O30,14,FALSE)</f>
        <v>13.55</v>
      </c>
      <c r="C6" s="33">
        <f t="shared" si="0"/>
        <v>0</v>
      </c>
      <c r="D6">
        <f>VLOOKUP(A6,Data2!B3:R31,10,FALSE)</f>
        <v>6.78</v>
      </c>
      <c r="E6" s="33">
        <f t="shared" si="1"/>
        <v>0</v>
      </c>
      <c r="F6">
        <f>VLOOKUP(A6,Data2!B3:R31,11,FALSE)</f>
        <v>7.36</v>
      </c>
      <c r="G6" s="33">
        <f t="shared" si="2"/>
        <v>0</v>
      </c>
      <c r="H6">
        <f>VLOOKUP(A6,Data2!B3:R31,3,FALSE)</f>
        <v>13.23</v>
      </c>
      <c r="I6" s="33">
        <f t="shared" si="3"/>
        <v>18.082474226804123</v>
      </c>
      <c r="J6">
        <f>VLOOKUP(A6,Data2!B3:R31,12,FALSE)</f>
        <v>5.35</v>
      </c>
      <c r="K6" s="33">
        <f t="shared" si="4"/>
        <v>8.5013623978201647</v>
      </c>
      <c r="L6">
        <f>VLOOKUP(A6,Data2!B3:R31,13,FALSE)</f>
        <v>1.73</v>
      </c>
      <c r="M6" s="33">
        <f t="shared" si="5"/>
        <v>6.6346153846153832</v>
      </c>
      <c r="N6">
        <f>VLOOKUP(A6,Data2!B3:S31,18,FALSE)</f>
        <v>40.08</v>
      </c>
      <c r="O6" s="33">
        <f t="shared" si="6"/>
        <v>5</v>
      </c>
      <c r="P6">
        <f>VLOOKUP(A6,Data2!B3:R31,15,FALSE)</f>
        <v>16.440000000000001</v>
      </c>
      <c r="Q6" s="33">
        <f t="shared" si="7"/>
        <v>0</v>
      </c>
      <c r="R6">
        <f>VLOOKUP(A6,Data2!B3:R31,16,FALSE)</f>
        <v>44.43</v>
      </c>
      <c r="S6" s="33">
        <f t="shared" si="8"/>
        <v>5</v>
      </c>
      <c r="T6">
        <f t="shared" si="9"/>
        <v>43.21845200923967</v>
      </c>
      <c r="U6">
        <f t="shared" si="10"/>
        <v>3</v>
      </c>
    </row>
    <row r="7" spans="1:21" x14ac:dyDescent="0.35">
      <c r="A7" s="15" t="s">
        <v>20</v>
      </c>
      <c r="B7">
        <f>VLOOKUP(A7,Data2!B4:O31,14,FALSE)</f>
        <v>15.37</v>
      </c>
      <c r="C7" s="33">
        <f t="shared" si="0"/>
        <v>4.8052941176470565</v>
      </c>
      <c r="D7">
        <f>VLOOKUP(A7,Data2!B4:R32,10,FALSE)</f>
        <v>8.17</v>
      </c>
      <c r="E7" s="33">
        <f t="shared" si="1"/>
        <v>11.66</v>
      </c>
      <c r="F7">
        <f>VLOOKUP(A7,Data2!B4:R32,11,FALSE)</f>
        <v>111.29</v>
      </c>
      <c r="G7" s="33">
        <f t="shared" si="2"/>
        <v>11.67</v>
      </c>
      <c r="H7">
        <f>VLOOKUP(A7,Data2!B4:R32,3,FALSE)</f>
        <v>19.54</v>
      </c>
      <c r="I7" s="33">
        <f t="shared" si="3"/>
        <v>5.0721649484536098</v>
      </c>
      <c r="J7">
        <f>VLOOKUP(A7,Data2!B4:R32,12,FALSE)</f>
        <v>3.76</v>
      </c>
      <c r="K7" s="33">
        <f t="shared" si="4"/>
        <v>15</v>
      </c>
      <c r="L7">
        <f>VLOOKUP(A7,Data2!B4:R32,13,FALSE)</f>
        <v>2.02</v>
      </c>
      <c r="M7" s="33">
        <f t="shared" si="5"/>
        <v>15</v>
      </c>
      <c r="N7">
        <f>VLOOKUP(A7,Data2!B4:S32,18,FALSE)</f>
        <v>6.06</v>
      </c>
      <c r="O7" s="33">
        <f t="shared" si="6"/>
        <v>0</v>
      </c>
      <c r="P7">
        <f>VLOOKUP(A7,Data2!B4:R32,15,FALSE)</f>
        <v>24.85</v>
      </c>
      <c r="Q7" s="33">
        <f t="shared" si="7"/>
        <v>2.2343251859723705</v>
      </c>
      <c r="R7">
        <f>VLOOKUP(A7,Data2!B4:R32,16,FALSE)</f>
        <v>22.32</v>
      </c>
      <c r="S7" s="33">
        <f t="shared" si="8"/>
        <v>0</v>
      </c>
      <c r="T7">
        <f t="shared" si="9"/>
        <v>65.441784252073035</v>
      </c>
      <c r="U7">
        <f t="shared" si="10"/>
        <v>1</v>
      </c>
    </row>
    <row r="8" spans="1:21" x14ac:dyDescent="0.35">
      <c r="A8" s="15" t="s">
        <v>21</v>
      </c>
      <c r="B8">
        <f>VLOOKUP(A8,Data2!B5:O32,14,FALSE)</f>
        <v>16.3</v>
      </c>
      <c r="C8" s="33">
        <f t="shared" si="0"/>
        <v>7.2607466063348447</v>
      </c>
      <c r="D8">
        <f>VLOOKUP(A8,Data2!B5:R33,10,FALSE)</f>
        <v>7.11</v>
      </c>
      <c r="E8" s="33">
        <f t="shared" si="1"/>
        <v>2.768201438848922</v>
      </c>
      <c r="F8">
        <f>VLOOKUP(A8,Data2!B5:R33,11,FALSE)</f>
        <v>89.98</v>
      </c>
      <c r="G8" s="33">
        <f t="shared" si="2"/>
        <v>9.2771615510439709</v>
      </c>
      <c r="H8">
        <f>VLOOKUP(A8,Data2!B5:R33,3,FALSE)</f>
        <v>12.3</v>
      </c>
      <c r="I8" s="33">
        <f t="shared" si="3"/>
        <v>20</v>
      </c>
      <c r="J8">
        <f>VLOOKUP(A8,Data2!B5:R33,12,FALSE)</f>
        <v>7.43</v>
      </c>
      <c r="K8" s="33">
        <f t="shared" si="4"/>
        <v>0</v>
      </c>
      <c r="L8">
        <f>VLOOKUP(A8,Data2!B5:R33,13,FALSE)</f>
        <v>1.5</v>
      </c>
      <c r="M8" s="33">
        <f t="shared" si="5"/>
        <v>0</v>
      </c>
      <c r="N8">
        <f>VLOOKUP(A8,Data2!B5:S33,18,FALSE)</f>
        <v>14.61</v>
      </c>
      <c r="O8" s="33">
        <f t="shared" si="6"/>
        <v>1.256613756613757</v>
      </c>
      <c r="P8">
        <f>VLOOKUP(A8,Data2!B5:R33,15,FALSE)</f>
        <v>22.76</v>
      </c>
      <c r="Q8" s="33">
        <f t="shared" si="7"/>
        <v>1.6790648246546231</v>
      </c>
      <c r="R8">
        <f>VLOOKUP(A8,Data2!B5:R33,16,FALSE)</f>
        <v>25.72</v>
      </c>
      <c r="S8" s="33">
        <f t="shared" si="8"/>
        <v>0.76888285843509696</v>
      </c>
      <c r="T8">
        <f t="shared" si="9"/>
        <v>43.010671035931225</v>
      </c>
      <c r="U8">
        <f t="shared" si="10"/>
        <v>4</v>
      </c>
    </row>
    <row r="9" spans="1:21" x14ac:dyDescent="0.35">
      <c r="T9" s="43">
        <f>AVERAGE(T4:T8)</f>
        <v>46.725760360591394</v>
      </c>
    </row>
    <row r="11" spans="1:21" x14ac:dyDescent="0.35">
      <c r="H11" s="24" t="s">
        <v>45</v>
      </c>
      <c r="I11" s="33"/>
      <c r="J11" s="25" t="s">
        <v>47</v>
      </c>
    </row>
    <row r="12" spans="1:21" x14ac:dyDescent="0.35">
      <c r="H12" t="s">
        <v>64</v>
      </c>
      <c r="I12" s="33"/>
      <c r="J12" t="s">
        <v>64</v>
      </c>
    </row>
  </sheetData>
  <conditionalFormatting sqref="U4:U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BB9E24-C6D3-497A-9D9C-981864D57D62}">
  <dimension ref="A1:U12"/>
  <sheetViews>
    <sheetView workbookViewId="0">
      <selection activeCell="T11" sqref="T11"/>
    </sheetView>
  </sheetViews>
  <sheetFormatPr defaultRowHeight="14.5" x14ac:dyDescent="0.35"/>
  <cols>
    <col min="1" max="1" width="12.36328125" bestFit="1" customWidth="1"/>
    <col min="3" max="3" width="9.7265625" bestFit="1" customWidth="1"/>
    <col min="5" max="5" width="16.453125" bestFit="1" customWidth="1"/>
    <col min="6" max="6" width="19.54296875" bestFit="1" customWidth="1"/>
    <col min="7" max="7" width="9.7265625" bestFit="1" customWidth="1"/>
    <col min="8" max="8" width="13" bestFit="1" customWidth="1"/>
    <col min="9" max="9" width="20.6328125" bestFit="1" customWidth="1"/>
    <col min="10" max="10" width="17.6328125" bestFit="1" customWidth="1"/>
    <col min="11" max="11" width="18.1796875" bestFit="1" customWidth="1"/>
    <col min="12" max="12" width="19" bestFit="1" customWidth="1"/>
    <col min="13" max="13" width="20.08984375" bestFit="1" customWidth="1"/>
    <col min="14" max="14" width="16.453125" bestFit="1" customWidth="1"/>
    <col min="15" max="15" width="9.7265625" bestFit="1" customWidth="1"/>
    <col min="16" max="16" width="17.6328125" bestFit="1" customWidth="1"/>
    <col min="17" max="17" width="9.7265625" bestFit="1" customWidth="1"/>
    <col min="18" max="18" width="18.1796875" bestFit="1" customWidth="1"/>
    <col min="19" max="19" width="9.7265625" bestFit="1" customWidth="1"/>
    <col min="20" max="20" width="20.08984375" bestFit="1" customWidth="1"/>
  </cols>
  <sheetData>
    <row r="1" spans="1:21" ht="15" thickBot="1" x14ac:dyDescent="0.4">
      <c r="A1" s="22" t="s">
        <v>61</v>
      </c>
      <c r="B1" s="23" t="s">
        <v>57</v>
      </c>
      <c r="C1" s="32" t="s">
        <v>62</v>
      </c>
      <c r="D1" s="23" t="s">
        <v>54</v>
      </c>
      <c r="E1" s="36" t="s">
        <v>62</v>
      </c>
      <c r="F1" s="23" t="s">
        <v>49</v>
      </c>
      <c r="G1" s="36" t="s">
        <v>62</v>
      </c>
      <c r="H1" s="24" t="s">
        <v>45</v>
      </c>
      <c r="I1" s="36" t="s">
        <v>62</v>
      </c>
      <c r="J1" s="25" t="s">
        <v>47</v>
      </c>
      <c r="K1" s="36" t="s">
        <v>62</v>
      </c>
      <c r="L1" s="25" t="s">
        <v>48</v>
      </c>
      <c r="M1" s="36" t="s">
        <v>62</v>
      </c>
      <c r="N1" s="26" t="s">
        <v>50</v>
      </c>
      <c r="O1" s="36" t="s">
        <v>62</v>
      </c>
      <c r="P1" s="26" t="s">
        <v>52</v>
      </c>
      <c r="Q1" s="36" t="s">
        <v>62</v>
      </c>
      <c r="R1" s="26" t="s">
        <v>53</v>
      </c>
      <c r="S1" s="36" t="s">
        <v>62</v>
      </c>
      <c r="T1" s="15" t="s">
        <v>59</v>
      </c>
      <c r="U1" s="15" t="s">
        <v>60</v>
      </c>
    </row>
    <row r="2" spans="1:21" s="15" customFormat="1" x14ac:dyDescent="0.35">
      <c r="A2" s="28" t="s">
        <v>62</v>
      </c>
      <c r="B2" s="38">
        <v>35</v>
      </c>
      <c r="C2" s="34"/>
      <c r="D2" s="29"/>
      <c r="E2" s="34"/>
      <c r="F2" s="29"/>
      <c r="G2" s="34"/>
      <c r="H2" s="38">
        <v>20</v>
      </c>
      <c r="I2" s="34"/>
      <c r="J2" s="38">
        <v>15</v>
      </c>
      <c r="K2" s="34"/>
      <c r="L2" s="29"/>
      <c r="M2" s="34"/>
      <c r="N2" s="38">
        <v>30</v>
      </c>
      <c r="O2" s="34"/>
      <c r="P2" s="29"/>
      <c r="Q2" s="34"/>
      <c r="R2" s="29"/>
      <c r="S2" s="39"/>
      <c r="T2"/>
      <c r="U2"/>
    </row>
    <row r="3" spans="1:21" ht="15" thickBot="1" x14ac:dyDescent="0.4">
      <c r="A3" s="30" t="s">
        <v>63</v>
      </c>
      <c r="B3" s="42">
        <v>11.67</v>
      </c>
      <c r="C3" s="41"/>
      <c r="D3" s="42">
        <v>11.67</v>
      </c>
      <c r="E3" s="41"/>
      <c r="F3" s="42">
        <v>11.66</v>
      </c>
      <c r="G3" s="41"/>
      <c r="H3" s="42">
        <v>20</v>
      </c>
      <c r="I3" s="35"/>
      <c r="J3" s="31">
        <v>7.5</v>
      </c>
      <c r="K3" s="35"/>
      <c r="L3" s="31">
        <v>7.5</v>
      </c>
      <c r="M3" s="35"/>
      <c r="N3" s="31">
        <v>10</v>
      </c>
      <c r="O3" s="35"/>
      <c r="P3" s="31">
        <v>10</v>
      </c>
      <c r="Q3" s="35"/>
      <c r="R3" s="31">
        <v>10</v>
      </c>
      <c r="S3" s="40"/>
    </row>
    <row r="4" spans="1:21" x14ac:dyDescent="0.35">
      <c r="A4" s="27" t="s">
        <v>39</v>
      </c>
      <c r="B4">
        <f>VLOOKUP(A4,Data2!B1:O28,14,FALSE)</f>
        <v>15.95</v>
      </c>
      <c r="C4" s="33">
        <f>(B4 - MIN($B$4:$B$8)) / (MAX($B$4:$B$8) - MIN($B$4:$B$8))*$B$3</f>
        <v>0</v>
      </c>
      <c r="D4">
        <f>VLOOKUP(A4,Data2!B1:R29,10,FALSE)</f>
        <v>21.76</v>
      </c>
      <c r="E4" s="33">
        <f>(D4 - MIN($D$4:$D$8)) / (MAX($D$4:$D$8) - MIN($D$4:$D$8))*$D$3</f>
        <v>5.7577882797731581</v>
      </c>
      <c r="F4">
        <f>VLOOKUP(A4,Data2!B1:R29,11,FALSE)</f>
        <v>461.2</v>
      </c>
      <c r="G4" s="33">
        <f>(F4 - MIN($F$4:$F$8)) / (MAX($F$4:$F$8) - MIN($F$4:$F$8))*$F$3</f>
        <v>7.776963658692682</v>
      </c>
      <c r="H4">
        <f>VLOOKUP(A4,Data2!B1:R29,3,FALSE)</f>
        <v>27.37</v>
      </c>
      <c r="I4" s="33">
        <f>(MAX($H$4:$H$8) - H4) / (MAX($H$4:$H$8) - MIN($H$4:$H$8))*$H$3</f>
        <v>7.0451339915373756</v>
      </c>
      <c r="J4">
        <f>VLOOKUP(A4,Data2!B1:R29,12,FALSE)</f>
        <v>0</v>
      </c>
      <c r="K4" s="33">
        <f t="shared" ref="K4:K8" si="0">(MAX($J$4:$J$8) - J4) / (MAX($J$4:$J$8) - MIN($J$4:$J$8))*$J$3</f>
        <v>7.5</v>
      </c>
      <c r="L4">
        <f>VLOOKUP(A4,Data2!B1:R29,13,FALSE)</f>
        <v>102.03</v>
      </c>
      <c r="M4" s="33">
        <f>(L4 - MIN($L$4:$L$8)) / (MAX($L$4:$L$8) - MIN($L$4:$L$8))*$L$3</f>
        <v>7.5</v>
      </c>
      <c r="N4">
        <f>VLOOKUP(A4,Data2!B1:S29,18,FALSE)</f>
        <v>13.35</v>
      </c>
      <c r="O4" s="33">
        <f>(N4 - MIN($N$4:$N$8)) / (MAX($N$4:$N$8) - MIN($N$4:$N$8))*$N$3</f>
        <v>0.19489862655330284</v>
      </c>
      <c r="P4">
        <f>VLOOKUP(A4,Data2!B1:R29,15,FALSE)</f>
        <v>20.07</v>
      </c>
      <c r="Q4" s="33">
        <f>(P4 - MIN($P$4:$P$8)) / (MAX($P$4:$P$8) - MIN($P$4:$P$8))*$P$3</f>
        <v>2.3011928429423461</v>
      </c>
      <c r="R4">
        <f>VLOOKUP(A4,Data2!B1:R29,16,FALSE)</f>
        <v>72.510000000000005</v>
      </c>
      <c r="S4" s="33">
        <f>(R4 - MIN($R$4:$R$8)) / (MAX($R$4:$R$8) - MIN($R$4:$R$8))*$R$3</f>
        <v>6.9566677863621091</v>
      </c>
      <c r="T4">
        <f>SUM(C4+E4+G4+I4+K4+M4+O4+Q4+S4)</f>
        <v>45.032645185860979</v>
      </c>
      <c r="U4">
        <f>RANK(T4,$T$4:$T$8,0)</f>
        <v>4</v>
      </c>
    </row>
    <row r="5" spans="1:21" x14ac:dyDescent="0.35">
      <c r="A5" s="15" t="s">
        <v>40</v>
      </c>
      <c r="B5">
        <f>VLOOKUP(A5,Data2!B2:O29,14,FALSE)</f>
        <v>28.08</v>
      </c>
      <c r="C5" s="33">
        <f t="shared" ref="C5:C8" si="1">(B5 - MIN($B$4:$B$8)) / (MAX($B$4:$B$8) - MIN($B$4:$B$8))*$B$3</f>
        <v>11.67</v>
      </c>
      <c r="D5">
        <f>VLOOKUP(A5,Data2!B2:R30,10,FALSE)</f>
        <v>19.97</v>
      </c>
      <c r="E5" s="33">
        <f t="shared" ref="E5:E8" si="2">(D5 - MIN($D$4:$D$8)) / (MAX($D$4:$D$8) - MIN($D$4:$D$8))*$D$3</f>
        <v>4.4415122873345929</v>
      </c>
      <c r="F5">
        <f>VLOOKUP(A5,Data2!B2:R30,11,FALSE)</f>
        <v>75.599999999999994</v>
      </c>
      <c r="G5" s="33">
        <f t="shared" ref="G5:G8" si="3">(F5 - MIN($F$4:$F$8)) / (MAX($F$4:$F$8) - MIN($F$4:$F$8))*$F$3</f>
        <v>0</v>
      </c>
      <c r="H5">
        <f>VLOOKUP(A5,Data2!B2:R30,3,FALSE)</f>
        <v>9</v>
      </c>
      <c r="I5" s="33">
        <f t="shared" ref="I5:I8" si="4">(MAX($H$4:$H$8) - H5) / (MAX($H$4:$H$8) - MIN($H$4:$H$8))*$H$3</f>
        <v>20</v>
      </c>
      <c r="J5">
        <f>VLOOKUP(A5,Data2!B2:R30,12,FALSE)</f>
        <v>0.62</v>
      </c>
      <c r="K5" s="33">
        <f t="shared" si="0"/>
        <v>4.7155688622754486</v>
      </c>
      <c r="L5">
        <f>VLOOKUP(A5,Data2!B2:R30,13,FALSE)</f>
        <v>7.75</v>
      </c>
      <c r="M5" s="33">
        <f t="shared" ref="M5:M8" si="5">(L5 - MIN($L$4:$L$8)) / (MAX($L$4:$L$8) - MIN($L$4:$L$8))*$L$3</f>
        <v>0.35252198524209039</v>
      </c>
      <c r="N5">
        <f>VLOOKUP(A5,Data2!B2:S30,18,FALSE)</f>
        <v>15.93</v>
      </c>
      <c r="O5" s="33">
        <f t="shared" ref="O5:O8" si="6">(N5 - MIN($N$4:$N$8)) / (MAX($N$4:$N$8) - MIN($N$4:$N$8))*$N$3</f>
        <v>0.3636363636363637</v>
      </c>
      <c r="P5">
        <f>VLOOKUP(A5,Data2!B2:R30,15,FALSE)</f>
        <v>16.45</v>
      </c>
      <c r="Q5" s="33">
        <f t="shared" ref="Q5:Q8" si="7">(P5 - MIN($P$4:$P$8)) / (MAX($P$4:$P$8) - MIN($P$4:$P$8))*$P$3</f>
        <v>0.50198807157057623</v>
      </c>
      <c r="R5">
        <f>VLOOKUP(A5,Data2!B2:R30,16,FALSE)</f>
        <v>65.489999999999995</v>
      </c>
      <c r="S5" s="33">
        <f t="shared" ref="S5:S8" si="8">(R5 - MIN($R$4:$R$8)) / (MAX($R$4:$R$8) - MIN($R$4:$R$8))*$R$3</f>
        <v>6.1706415854887462</v>
      </c>
      <c r="T5">
        <f t="shared" ref="T5:T8" si="9">SUM(C5+E5+G5+I5+K5+M5+O5+Q5+S5)</f>
        <v>48.215869155547821</v>
      </c>
      <c r="U5">
        <f t="shared" ref="U5:U8" si="10">RANK(T5,$T$4:$T$8,0)</f>
        <v>3</v>
      </c>
    </row>
    <row r="6" spans="1:21" x14ac:dyDescent="0.35">
      <c r="A6" s="15" t="s">
        <v>38</v>
      </c>
      <c r="B6">
        <f>VLOOKUP(A6,Data2!B3:O30,14,FALSE)</f>
        <v>18.05</v>
      </c>
      <c r="C6" s="33">
        <f t="shared" si="1"/>
        <v>2.0203627370156654</v>
      </c>
      <c r="D6">
        <f>VLOOKUP(A6,Data2!B3:R31,10,FALSE)</f>
        <v>13.93</v>
      </c>
      <c r="E6" s="33">
        <f t="shared" si="2"/>
        <v>0</v>
      </c>
      <c r="F6">
        <f>VLOOKUP(A6,Data2!B3:R31,11,FALSE)</f>
        <v>103.97</v>
      </c>
      <c r="G6" s="33">
        <f t="shared" si="3"/>
        <v>0.57217961358172054</v>
      </c>
      <c r="H6">
        <f>VLOOKUP(A6,Data2!B3:R31,3,FALSE)</f>
        <v>31.42</v>
      </c>
      <c r="I6" s="33">
        <f t="shared" si="4"/>
        <v>4.1889985895627628</v>
      </c>
      <c r="J6">
        <f>VLOOKUP(A6,Data2!B3:R31,12,FALSE)</f>
        <v>1.67</v>
      </c>
      <c r="K6" s="33">
        <f t="shared" si="0"/>
        <v>0</v>
      </c>
      <c r="L6">
        <f>VLOOKUP(A6,Data2!B3:R31,13,FALSE)</f>
        <v>3.1</v>
      </c>
      <c r="M6" s="33">
        <f t="shared" si="5"/>
        <v>0</v>
      </c>
      <c r="N6">
        <f>VLOOKUP(A6,Data2!B3:S31,18,FALSE)</f>
        <v>10.37</v>
      </c>
      <c r="O6" s="33">
        <f t="shared" si="6"/>
        <v>0</v>
      </c>
      <c r="P6">
        <f>VLOOKUP(A6,Data2!B3:R31,15,FALSE)</f>
        <v>20.87</v>
      </c>
      <c r="Q6" s="33">
        <f t="shared" si="7"/>
        <v>2.6988071570576544</v>
      </c>
      <c r="R6">
        <f>VLOOKUP(A6,Data2!B3:R31,16,FALSE)</f>
        <v>27.17</v>
      </c>
      <c r="S6" s="33">
        <f t="shared" si="8"/>
        <v>1.8799686485276004</v>
      </c>
      <c r="T6">
        <f t="shared" si="9"/>
        <v>11.360316745745404</v>
      </c>
      <c r="U6">
        <f t="shared" si="10"/>
        <v>5</v>
      </c>
    </row>
    <row r="7" spans="1:21" x14ac:dyDescent="0.35">
      <c r="A7" s="15" t="s">
        <v>42</v>
      </c>
      <c r="B7">
        <f>VLOOKUP(A7,Data2!B4:O31,14,FALSE)</f>
        <v>20.68</v>
      </c>
      <c r="C7" s="33">
        <f t="shared" si="1"/>
        <v>4.5506265457543291</v>
      </c>
      <c r="D7">
        <f>VLOOKUP(A7,Data2!B4:R32,10,FALSE)</f>
        <v>29.8</v>
      </c>
      <c r="E7" s="33">
        <f t="shared" si="2"/>
        <v>11.67</v>
      </c>
      <c r="F7">
        <f>VLOOKUP(A7,Data2!B4:R32,11,FALSE)</f>
        <v>653.73</v>
      </c>
      <c r="G7" s="33">
        <f t="shared" si="3"/>
        <v>11.66</v>
      </c>
      <c r="H7">
        <f>VLOOKUP(A7,Data2!B4:R32,3,FALSE)</f>
        <v>37.36</v>
      </c>
      <c r="I7" s="33">
        <f t="shared" si="4"/>
        <v>0</v>
      </c>
      <c r="J7">
        <f>VLOOKUP(A7,Data2!B4:R32,12,FALSE)</f>
        <v>0.01</v>
      </c>
      <c r="K7" s="33">
        <f t="shared" si="0"/>
        <v>7.455089820359281</v>
      </c>
      <c r="L7">
        <f>VLOOKUP(A7,Data2!B4:R32,13,FALSE)</f>
        <v>56.47</v>
      </c>
      <c r="M7" s="33">
        <f t="shared" si="5"/>
        <v>4.0460426564237331</v>
      </c>
      <c r="N7">
        <f>VLOOKUP(A7,Data2!B4:S32,18,FALSE)</f>
        <v>163.27000000000001</v>
      </c>
      <c r="O7" s="33">
        <f t="shared" si="6"/>
        <v>10</v>
      </c>
      <c r="P7">
        <f>VLOOKUP(A7,Data2!B4:R32,15,FALSE)</f>
        <v>35.56</v>
      </c>
      <c r="Q7" s="33">
        <f t="shared" si="7"/>
        <v>10</v>
      </c>
      <c r="R7">
        <f>VLOOKUP(A7,Data2!B4:R32,16,FALSE)</f>
        <v>99.69</v>
      </c>
      <c r="S7" s="33">
        <f t="shared" si="8"/>
        <v>10</v>
      </c>
      <c r="T7">
        <f t="shared" si="9"/>
        <v>69.381759022537338</v>
      </c>
      <c r="U7">
        <f t="shared" si="10"/>
        <v>1</v>
      </c>
    </row>
    <row r="8" spans="1:21" x14ac:dyDescent="0.35">
      <c r="A8" s="15" t="s">
        <v>51</v>
      </c>
      <c r="B8">
        <f>VLOOKUP(A8,Data2!B5:O32,14,FALSE)</f>
        <v>22.77</v>
      </c>
      <c r="C8" s="33">
        <f t="shared" si="1"/>
        <v>6.5613685078318236</v>
      </c>
      <c r="D8">
        <f>VLOOKUP(A8,Data2!B5:R33,10,FALSE)</f>
        <v>28.06</v>
      </c>
      <c r="E8" s="33">
        <f t="shared" si="2"/>
        <v>10.390491493383742</v>
      </c>
      <c r="F8">
        <f>VLOOKUP(A8,Data2!B5:R33,11,FALSE)</f>
        <v>262.29000000000002</v>
      </c>
      <c r="G8" s="33">
        <f t="shared" si="3"/>
        <v>3.7652524518706869</v>
      </c>
      <c r="H8">
        <f>VLOOKUP(A8,Data2!B5:R33,3,FALSE)</f>
        <v>9.4499999999999993</v>
      </c>
      <c r="I8" s="33">
        <f t="shared" si="4"/>
        <v>19.682651622002822</v>
      </c>
      <c r="J8">
        <f>VLOOKUP(A8,Data2!B5:R33,12,FALSE)</f>
        <v>0.27</v>
      </c>
      <c r="K8" s="33">
        <f t="shared" si="0"/>
        <v>6.2874251497005984</v>
      </c>
      <c r="L8">
        <f>VLOOKUP(A8,Data2!B5:R33,13,FALSE)</f>
        <v>27.21</v>
      </c>
      <c r="M8" s="33">
        <f t="shared" si="5"/>
        <v>1.8278075406853329</v>
      </c>
      <c r="N8">
        <f>VLOOKUP(A8,Data2!B5:S33,18,FALSE)</f>
        <v>27.26</v>
      </c>
      <c r="O8" s="33">
        <f t="shared" si="6"/>
        <v>1.1046435578809679</v>
      </c>
      <c r="P8">
        <f>VLOOKUP(A8,Data2!B5:R33,15,FALSE)</f>
        <v>15.44</v>
      </c>
      <c r="Q8" s="33">
        <f t="shared" si="7"/>
        <v>0</v>
      </c>
      <c r="R8">
        <f>VLOOKUP(A8,Data2!B5:R33,16,FALSE)</f>
        <v>10.38</v>
      </c>
      <c r="S8" s="33">
        <f t="shared" si="8"/>
        <v>0</v>
      </c>
      <c r="T8">
        <f t="shared" si="9"/>
        <v>49.619640323355974</v>
      </c>
      <c r="U8">
        <f t="shared" si="10"/>
        <v>2</v>
      </c>
    </row>
    <row r="9" spans="1:21" x14ac:dyDescent="0.35">
      <c r="T9" s="43">
        <f>AVERAGE(T4:T8)</f>
        <v>44.722046086609502</v>
      </c>
    </row>
    <row r="11" spans="1:21" x14ac:dyDescent="0.35">
      <c r="H11" s="24" t="s">
        <v>45</v>
      </c>
      <c r="I11" s="33"/>
      <c r="J11" s="25" t="s">
        <v>47</v>
      </c>
    </row>
    <row r="12" spans="1:21" x14ac:dyDescent="0.35">
      <c r="H12" t="s">
        <v>64</v>
      </c>
      <c r="I12" s="33"/>
      <c r="J12" t="s">
        <v>64</v>
      </c>
    </row>
  </sheetData>
  <conditionalFormatting sqref="U4:U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5A784-F4F4-4950-B7F5-36CF634F9A62}">
  <dimension ref="A1:O1048576"/>
  <sheetViews>
    <sheetView zoomScale="90" zoomScaleNormal="90" workbookViewId="0"/>
  </sheetViews>
  <sheetFormatPr defaultRowHeight="14.5" x14ac:dyDescent="0.35"/>
  <cols>
    <col min="1" max="1" width="19.7265625" bestFit="1" customWidth="1"/>
    <col min="2" max="2" width="12.1796875" bestFit="1" customWidth="1"/>
    <col min="5" max="5" width="16.453125" bestFit="1" customWidth="1"/>
    <col min="6" max="6" width="19.54296875" bestFit="1" customWidth="1"/>
    <col min="9" max="9" width="13" bestFit="1" customWidth="1"/>
    <col min="10" max="10" width="20.6328125" bestFit="1" customWidth="1"/>
    <col min="11" max="11" width="17.6328125" bestFit="1" customWidth="1"/>
    <col min="12" max="12" width="18.1796875" bestFit="1" customWidth="1"/>
    <col min="13" max="13" width="19" bestFit="1" customWidth="1"/>
    <col min="14" max="14" width="20.08984375" bestFit="1" customWidth="1"/>
    <col min="15" max="15" width="9.36328125" bestFit="1" customWidth="1"/>
  </cols>
  <sheetData>
    <row r="1" spans="1:15" x14ac:dyDescent="0.35">
      <c r="A1" s="15" t="s">
        <v>61</v>
      </c>
      <c r="B1" s="15" t="s">
        <v>57</v>
      </c>
      <c r="C1" s="15" t="s">
        <v>54</v>
      </c>
      <c r="D1" s="15" t="s">
        <v>49</v>
      </c>
      <c r="E1" s="15" t="s">
        <v>50</v>
      </c>
      <c r="F1" s="15" t="s">
        <v>56</v>
      </c>
      <c r="G1" s="15" t="s">
        <v>45</v>
      </c>
      <c r="H1" s="15" t="s">
        <v>46</v>
      </c>
      <c r="I1" s="15" t="s">
        <v>47</v>
      </c>
      <c r="J1" s="15" t="s">
        <v>48</v>
      </c>
      <c r="K1" s="15" t="s">
        <v>52</v>
      </c>
      <c r="L1" s="15" t="s">
        <v>53</v>
      </c>
      <c r="M1" s="15" t="s">
        <v>55</v>
      </c>
      <c r="N1" s="15" t="s">
        <v>59</v>
      </c>
      <c r="O1" s="15" t="s">
        <v>60</v>
      </c>
    </row>
    <row r="2" spans="1:15" x14ac:dyDescent="0.35">
      <c r="A2" s="21" t="s">
        <v>62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</row>
    <row r="3" spans="1:15" x14ac:dyDescent="0.35">
      <c r="A3" s="15" t="s">
        <v>18</v>
      </c>
      <c r="B3">
        <f>VLOOKUP(A3,Data2!B1:O28,14,FALSE)</f>
        <v>14.45</v>
      </c>
      <c r="C3" s="18">
        <f>VLOOKUP(A3,Data2!B1:R29,10,FALSE)</f>
        <v>7.51</v>
      </c>
      <c r="D3">
        <f>VLOOKUP(A3,Data2!B1:R29,11,FALSE)</f>
        <v>92.26</v>
      </c>
      <c r="E3">
        <f>VLOOKUP(A3,Data2!B1:S29,18,FALSE)</f>
        <v>12.98</v>
      </c>
      <c r="F3">
        <v>10.5</v>
      </c>
      <c r="G3">
        <f>VLOOKUP(A3,Data2!B1:R29,3,FALSE)</f>
        <v>22</v>
      </c>
      <c r="I3">
        <f>VLOOKUP(A3,Data2!B1:R29,12,FALSE)</f>
        <v>6.41</v>
      </c>
      <c r="J3">
        <f>VLOOKUP(A3,Data2!B1:R29,13,FALSE)</f>
        <v>1.5</v>
      </c>
      <c r="K3">
        <f>VLOOKUP(A3,Data2!B1:R29,15,FALSE)</f>
        <v>35.26</v>
      </c>
      <c r="L3">
        <f>VLOOKUP(A3,Data2!B1:R29,16,FALSE)</f>
        <v>22.98</v>
      </c>
      <c r="M3">
        <v>18.579999999999998</v>
      </c>
    </row>
    <row r="4" spans="1:15" x14ac:dyDescent="0.35">
      <c r="A4" s="15" t="s">
        <v>19</v>
      </c>
      <c r="B4">
        <f>VLOOKUP(A4,Data2!B2:O29,14,FALSE)</f>
        <v>17.97</v>
      </c>
      <c r="C4" s="18">
        <f>VLOOKUP(A4,Data2!B2:R30,10,FALSE)</f>
        <v>7.88</v>
      </c>
      <c r="D4">
        <f>VLOOKUP(A4,Data2!B2:R30,11,FALSE)</f>
        <v>74.58</v>
      </c>
      <c r="E4">
        <f>VLOOKUP(A4,Data2!B2:S30,18,FALSE)</f>
        <v>22.81</v>
      </c>
      <c r="F4">
        <v>15.3</v>
      </c>
      <c r="G4">
        <f>VLOOKUP(A4,Data2!B2:R30,3,FALSE)</f>
        <v>20.09</v>
      </c>
      <c r="I4">
        <f>VLOOKUP(A4,Data2!B2:R30,12,FALSE)</f>
        <v>5.97</v>
      </c>
      <c r="J4">
        <f>VLOOKUP(A4,Data2!B2:R30,13,FALSE)</f>
        <v>1.83</v>
      </c>
      <c r="K4">
        <f>VLOOKUP(A4,Data2!B2:R30,15,FALSE)</f>
        <v>25</v>
      </c>
      <c r="L4">
        <f>VLOOKUP(A4,Data2!B2:R30,16,FALSE)</f>
        <v>26.67</v>
      </c>
      <c r="M4">
        <v>16.809999999999999</v>
      </c>
    </row>
    <row r="5" spans="1:15" x14ac:dyDescent="0.35">
      <c r="A5" s="15" t="s">
        <v>22</v>
      </c>
      <c r="B5">
        <f>VLOOKUP(A5,Data2!B3:O30,14,FALSE)</f>
        <v>13.55</v>
      </c>
      <c r="C5" s="18">
        <f>VLOOKUP(A5,Data2!B3:R31,10,FALSE)</f>
        <v>6.78</v>
      </c>
      <c r="D5">
        <f>VLOOKUP(A5,Data2!B3:R31,11,FALSE)</f>
        <v>7.36</v>
      </c>
      <c r="E5">
        <f>VLOOKUP(A5,Data2!B3:S31,18,FALSE)</f>
        <v>40.08</v>
      </c>
      <c r="F5">
        <v>3.73</v>
      </c>
      <c r="G5">
        <f>VLOOKUP(A5,Data2!B3:R31,3,FALSE)</f>
        <v>13.23</v>
      </c>
      <c r="I5">
        <f>VLOOKUP(A5,Data2!B3:R31,12,FALSE)</f>
        <v>5.35</v>
      </c>
      <c r="J5">
        <f>VLOOKUP(A5,Data2!B3:R31,13,FALSE)</f>
        <v>1.73</v>
      </c>
      <c r="K5">
        <f>VLOOKUP(A5,Data2!B3:R31,15,FALSE)</f>
        <v>16.440000000000001</v>
      </c>
      <c r="L5">
        <f>VLOOKUP(A5,Data2!B3:R31,16,FALSE)</f>
        <v>44.43</v>
      </c>
      <c r="M5">
        <v>9.34</v>
      </c>
    </row>
    <row r="6" spans="1:15" x14ac:dyDescent="0.35">
      <c r="A6" s="15" t="s">
        <v>20</v>
      </c>
      <c r="B6">
        <f>VLOOKUP(A6,Data2!B4:O31,14,FALSE)</f>
        <v>15.37</v>
      </c>
      <c r="C6" s="18">
        <f>VLOOKUP(A6,Data2!B4:R32,10,FALSE)</f>
        <v>8.17</v>
      </c>
      <c r="D6">
        <f>VLOOKUP(A6,Data2!B4:R32,11,FALSE)</f>
        <v>111.29</v>
      </c>
      <c r="E6">
        <f>VLOOKUP(A6,Data2!B4:S32,18,FALSE)</f>
        <v>6.06</v>
      </c>
      <c r="F6">
        <v>21.48</v>
      </c>
      <c r="G6">
        <f>VLOOKUP(A6,Data2!B4:R32,3,FALSE)</f>
        <v>19.54</v>
      </c>
      <c r="I6">
        <f>VLOOKUP(A6,Data2!B4:R32,12,FALSE)</f>
        <v>3.76</v>
      </c>
      <c r="J6">
        <f>VLOOKUP(A6,Data2!B4:R32,13,FALSE)</f>
        <v>2.02</v>
      </c>
      <c r="K6">
        <f>VLOOKUP(A6,Data2!B4:R32,15,FALSE)</f>
        <v>24.85</v>
      </c>
      <c r="L6">
        <f>VLOOKUP(A6,Data2!B4:R32,16,FALSE)</f>
        <v>22.32</v>
      </c>
      <c r="M6">
        <v>16.77</v>
      </c>
    </row>
    <row r="7" spans="1:15" x14ac:dyDescent="0.35">
      <c r="A7" s="15" t="s">
        <v>21</v>
      </c>
      <c r="B7">
        <f>VLOOKUP(A7,Data2!B5:O32,14,FALSE)</f>
        <v>16.3</v>
      </c>
      <c r="C7" s="18">
        <f>VLOOKUP(A7,Data2!B5:R33,10,FALSE)</f>
        <v>7.11</v>
      </c>
      <c r="D7">
        <f>VLOOKUP(A7,Data2!B5:R33,11,FALSE)</f>
        <v>89.98</v>
      </c>
      <c r="E7">
        <f>VLOOKUP(A7,Data2!B5:S33,18,FALSE)</f>
        <v>14.61</v>
      </c>
      <c r="F7">
        <v>6.32</v>
      </c>
      <c r="G7">
        <f>VLOOKUP(A7,Data2!B5:R33,3,FALSE)</f>
        <v>12.3</v>
      </c>
      <c r="I7">
        <f>VLOOKUP(A7,Data2!B5:R33,12,FALSE)</f>
        <v>7.43</v>
      </c>
      <c r="J7">
        <f>VLOOKUP(A7,Data2!B5:R33,13,FALSE)</f>
        <v>1.5</v>
      </c>
      <c r="K7">
        <f>VLOOKUP(A7,Data2!B5:R33,15,FALSE)</f>
        <v>22.76</v>
      </c>
      <c r="L7">
        <f>VLOOKUP(A7,Data2!B5:R33,16,FALSE)</f>
        <v>25.72</v>
      </c>
      <c r="M7">
        <v>12.96</v>
      </c>
    </row>
    <row r="8" spans="1:15" x14ac:dyDescent="0.35">
      <c r="A8" s="15" t="s">
        <v>31</v>
      </c>
      <c r="B8">
        <f>VLOOKUP(A8,Data2!B6:O33,14,FALSE)</f>
        <v>13.35</v>
      </c>
      <c r="C8" s="18">
        <f>VLOOKUP(A8,Data2!B6:R34,10,FALSE)</f>
        <v>17.64</v>
      </c>
      <c r="D8">
        <f>VLOOKUP(A8,Data2!B6:R34,11,FALSE)</f>
        <v>25.43</v>
      </c>
      <c r="E8">
        <f>VLOOKUP(A8,Data2!B6:S34,18,FALSE)</f>
        <v>10.37</v>
      </c>
      <c r="F8">
        <v>233.87</v>
      </c>
      <c r="G8">
        <f>VLOOKUP(A8,Data2!B6:R34,3,FALSE)</f>
        <v>54.95</v>
      </c>
      <c r="I8">
        <f>VLOOKUP(A8,Data2!B6:R34,12,FALSE)</f>
        <v>0.14000000000000001</v>
      </c>
      <c r="J8">
        <f>VLOOKUP(A8,Data2!B6:R34,13,FALSE)</f>
        <v>19.920000000000002</v>
      </c>
      <c r="K8">
        <f>VLOOKUP(A8,Data2!B6:R34,15,FALSE)</f>
        <v>24.77</v>
      </c>
      <c r="L8">
        <f>VLOOKUP(A8,Data2!B6:R34,16,FALSE)</f>
        <v>17.71</v>
      </c>
      <c r="M8">
        <v>23.48</v>
      </c>
    </row>
    <row r="9" spans="1:15" x14ac:dyDescent="0.35">
      <c r="A9" s="15" t="s">
        <v>28</v>
      </c>
      <c r="B9">
        <f>VLOOKUP(A9,Data2!B7:O34,14,FALSE)</f>
        <v>18.79</v>
      </c>
      <c r="C9" s="18">
        <f>VLOOKUP(A9,Data2!B7:R35,10,FALSE)</f>
        <v>25.32</v>
      </c>
      <c r="D9">
        <f>VLOOKUP(A9,Data2!B7:R35,11,FALSE)</f>
        <v>22.52</v>
      </c>
      <c r="E9">
        <f>VLOOKUP(A9,Data2!B7:S35,18,FALSE)</f>
        <v>8.17</v>
      </c>
      <c r="F9">
        <v>15.85</v>
      </c>
      <c r="G9">
        <f>VLOOKUP(A9,Data2!B7:R35,3,FALSE)</f>
        <v>69.94</v>
      </c>
      <c r="I9">
        <f>VLOOKUP(A9,Data2!B7:R35,12,FALSE)</f>
        <v>0.04</v>
      </c>
      <c r="J9">
        <f>VLOOKUP(A9,Data2!B7:R35,13,FALSE)</f>
        <v>44.39</v>
      </c>
      <c r="K9">
        <f>VLOOKUP(A9,Data2!B7:R35,15,FALSE)</f>
        <v>16.04</v>
      </c>
      <c r="L9">
        <f>VLOOKUP(A9,Data2!B7:R35,16,FALSE)</f>
        <v>7.37</v>
      </c>
      <c r="M9">
        <v>17.14</v>
      </c>
    </row>
    <row r="10" spans="1:15" x14ac:dyDescent="0.35">
      <c r="A10" s="15" t="s">
        <v>35</v>
      </c>
      <c r="B10">
        <f>VLOOKUP(A10,Data2!B8:O35,14,FALSE)</f>
        <v>17.399999999999999</v>
      </c>
      <c r="C10" s="18">
        <f>VLOOKUP(A10,Data2!B8:R36,10,FALSE)</f>
        <v>19.010000000000002</v>
      </c>
      <c r="D10">
        <f>VLOOKUP(A10,Data2!B8:R36,11,FALSE)</f>
        <v>8.64</v>
      </c>
      <c r="E10">
        <f>VLOOKUP(A10,Data2!B8:S36,18,FALSE)</f>
        <v>-3.78</v>
      </c>
      <c r="F10">
        <v>26.37</v>
      </c>
      <c r="G10">
        <f>VLOOKUP(A10,Data2!B8:R36,3,FALSE)</f>
        <v>39.35</v>
      </c>
      <c r="I10">
        <f>VLOOKUP(A10,Data2!B8:R36,12,FALSE)</f>
        <v>0.14000000000000001</v>
      </c>
      <c r="J10">
        <f>VLOOKUP(A10,Data2!B8:R36,13,FALSE)</f>
        <v>16.760000000000002</v>
      </c>
      <c r="K10">
        <f>VLOOKUP(A10,Data2!B8:R36,15,FALSE)</f>
        <v>13.39</v>
      </c>
      <c r="L10">
        <f>VLOOKUP(A10,Data2!B8:R36,16,FALSE)</f>
        <v>-1.87</v>
      </c>
      <c r="M10">
        <v>7.53</v>
      </c>
    </row>
    <row r="11" spans="1:15" x14ac:dyDescent="0.35">
      <c r="A11" s="15" t="s">
        <v>36</v>
      </c>
      <c r="B11">
        <f>VLOOKUP(A11,Data2!B9:O36,14,FALSE)</f>
        <v>9.27</v>
      </c>
      <c r="C11" s="18">
        <f>VLOOKUP(A11,Data2!B9:R37,10,FALSE)</f>
        <v>12.99</v>
      </c>
      <c r="D11">
        <f>VLOOKUP(A11,Data2!B9:R37,11,FALSE)</f>
        <v>28.3</v>
      </c>
      <c r="E11">
        <f>VLOOKUP(A11,Data2!B9:S37,18,FALSE)</f>
        <v>-6.53</v>
      </c>
      <c r="F11">
        <v>65.400000000000006</v>
      </c>
      <c r="G11">
        <f>VLOOKUP(A11,Data2!B9:R37,3,FALSE)</f>
        <v>51.91</v>
      </c>
      <c r="I11">
        <f>VLOOKUP(A11,Data2!B9:R37,12,FALSE)</f>
        <v>0.02</v>
      </c>
      <c r="J11">
        <f>VLOOKUP(A11,Data2!B9:R37,13,FALSE)</f>
        <v>11.78</v>
      </c>
      <c r="K11">
        <f>VLOOKUP(A11,Data2!B9:R37,15,FALSE)</f>
        <v>8.52</v>
      </c>
      <c r="L11">
        <f>VLOOKUP(A11,Data2!B9:R37,16,FALSE)</f>
        <v>7.26</v>
      </c>
      <c r="M11">
        <v>15.95</v>
      </c>
    </row>
    <row r="12" spans="1:15" x14ac:dyDescent="0.35">
      <c r="A12" s="15" t="s">
        <v>32</v>
      </c>
      <c r="B12">
        <f>VLOOKUP(A12,Data2!B10:O37,14,FALSE)</f>
        <v>20.62</v>
      </c>
      <c r="C12" s="18">
        <f>VLOOKUP(A12,Data2!B10:R38,10,FALSE)</f>
        <v>26.2</v>
      </c>
      <c r="D12">
        <f>VLOOKUP(A12,Data2!B10:R38,11,FALSE)</f>
        <v>28.75</v>
      </c>
      <c r="E12">
        <f>VLOOKUP(A12,Data2!B10:S38,18,FALSE)</f>
        <v>52.42</v>
      </c>
      <c r="F12">
        <v>42.48</v>
      </c>
      <c r="G12">
        <f>VLOOKUP(A12,Data2!B10:R38,3,FALSE)</f>
        <v>61.47</v>
      </c>
      <c r="I12">
        <f>VLOOKUP(A12,Data2!B10:R38,12,FALSE)</f>
        <v>0.12</v>
      </c>
      <c r="J12">
        <f>VLOOKUP(A12,Data2!B10:R38,13,FALSE)</f>
        <v>16.920000000000002</v>
      </c>
      <c r="K12">
        <f>VLOOKUP(A12,Data2!B10:R38,15,FALSE)</f>
        <v>25.43</v>
      </c>
      <c r="L12">
        <f>VLOOKUP(A12,Data2!B10:R38,16,FALSE)</f>
        <v>52.09</v>
      </c>
      <c r="M12">
        <v>23.56</v>
      </c>
    </row>
    <row r="13" spans="1:15" x14ac:dyDescent="0.35">
      <c r="A13" s="15" t="s">
        <v>39</v>
      </c>
      <c r="B13">
        <f>VLOOKUP(A13,Data2!B11:O38,14,FALSE)</f>
        <v>15.95</v>
      </c>
      <c r="C13" s="18">
        <f>VLOOKUP(A13,Data2!B11:R39,10,FALSE)</f>
        <v>21.76</v>
      </c>
      <c r="D13">
        <f>VLOOKUP(A13,Data2!B11:R39,11,FALSE)</f>
        <v>461.2</v>
      </c>
      <c r="E13">
        <f>VLOOKUP(A13,Data2!B11:S39,18,FALSE)</f>
        <v>13.35</v>
      </c>
      <c r="F13">
        <v>7.5</v>
      </c>
      <c r="G13">
        <f>VLOOKUP(A13,Data2!B11:R39,3,FALSE)</f>
        <v>27.37</v>
      </c>
      <c r="I13">
        <f>VLOOKUP(A13,Data2!B11:R39,12,FALSE)</f>
        <v>0</v>
      </c>
      <c r="J13">
        <f>VLOOKUP(A13,Data2!B11:R39,13,FALSE)</f>
        <v>102.03</v>
      </c>
      <c r="K13">
        <f>VLOOKUP(A13,Data2!B11:R39,15,FALSE)</f>
        <v>20.07</v>
      </c>
      <c r="L13">
        <f>VLOOKUP(A13,Data2!B11:R39,16,FALSE)</f>
        <v>72.510000000000005</v>
      </c>
      <c r="M13">
        <v>7.79</v>
      </c>
    </row>
    <row r="14" spans="1:15" x14ac:dyDescent="0.35">
      <c r="A14" s="15" t="s">
        <v>40</v>
      </c>
      <c r="B14">
        <f>VLOOKUP(A14,Data2!B12:O39,14,FALSE)</f>
        <v>28.08</v>
      </c>
      <c r="C14" s="18">
        <f>VLOOKUP(A14,Data2!B12:R40,10,FALSE)</f>
        <v>19.97</v>
      </c>
      <c r="D14">
        <f>VLOOKUP(A14,Data2!B12:R40,11,FALSE)</f>
        <v>75.599999999999994</v>
      </c>
      <c r="E14">
        <f>VLOOKUP(A14,Data2!B12:S40,18,FALSE)</f>
        <v>15.93</v>
      </c>
      <c r="F14">
        <v>-11.36</v>
      </c>
      <c r="G14">
        <f>VLOOKUP(A14,Data2!B12:R40,3,FALSE)</f>
        <v>9</v>
      </c>
      <c r="I14">
        <f>VLOOKUP(A14,Data2!B12:R40,12,FALSE)</f>
        <v>0.62</v>
      </c>
      <c r="J14">
        <f>VLOOKUP(A14,Data2!B12:R40,13,FALSE)</f>
        <v>7.75</v>
      </c>
      <c r="K14">
        <f>VLOOKUP(A14,Data2!B12:R40,15,FALSE)</f>
        <v>16.45</v>
      </c>
      <c r="L14">
        <f>VLOOKUP(A14,Data2!B12:R40,16,FALSE)</f>
        <v>65.489999999999995</v>
      </c>
      <c r="M14">
        <v>1.3</v>
      </c>
    </row>
    <row r="15" spans="1:15" x14ac:dyDescent="0.35">
      <c r="A15" s="15" t="s">
        <v>38</v>
      </c>
      <c r="B15">
        <f>VLOOKUP(A15,Data2!B13:O40,14,FALSE)</f>
        <v>18.05</v>
      </c>
      <c r="C15" s="18">
        <f>VLOOKUP(A15,Data2!B13:R41,10,FALSE)</f>
        <v>13.93</v>
      </c>
      <c r="D15">
        <f>VLOOKUP(A15,Data2!B13:R41,11,FALSE)</f>
        <v>103.97</v>
      </c>
      <c r="E15">
        <f>VLOOKUP(A15,Data2!B13:S41,18,FALSE)</f>
        <v>10.37</v>
      </c>
      <c r="F15">
        <v>14.73</v>
      </c>
      <c r="G15">
        <f>VLOOKUP(A15,Data2!B13:R41,3,FALSE)</f>
        <v>31.42</v>
      </c>
      <c r="I15">
        <f>VLOOKUP(A15,Data2!B13:R41,12,FALSE)</f>
        <v>1.67</v>
      </c>
      <c r="J15">
        <f>VLOOKUP(A15,Data2!B13:R41,13,FALSE)</f>
        <v>3.1</v>
      </c>
      <c r="K15">
        <f>VLOOKUP(A15,Data2!B13:R41,15,FALSE)</f>
        <v>20.87</v>
      </c>
      <c r="L15">
        <f>VLOOKUP(A15,Data2!B13:R41,16,FALSE)</f>
        <v>27.17</v>
      </c>
      <c r="M15">
        <v>14.47</v>
      </c>
    </row>
    <row r="16" spans="1:15" x14ac:dyDescent="0.35">
      <c r="A16" s="15" t="s">
        <v>42</v>
      </c>
      <c r="B16">
        <f>VLOOKUP(A16,Data2!B14:O41,14,FALSE)</f>
        <v>20.68</v>
      </c>
      <c r="C16" s="18">
        <f>VLOOKUP(A16,Data2!B14:R42,10,FALSE)</f>
        <v>29.8</v>
      </c>
      <c r="D16">
        <f>VLOOKUP(A16,Data2!B14:R42,11,FALSE)</f>
        <v>653.73</v>
      </c>
      <c r="E16">
        <f>VLOOKUP(A16,Data2!B14:S42,18,FALSE)</f>
        <v>163.27000000000001</v>
      </c>
      <c r="F16">
        <v>106.32</v>
      </c>
      <c r="G16">
        <f>VLOOKUP(A16,Data2!B14:R42,3,FALSE)</f>
        <v>37.36</v>
      </c>
      <c r="I16">
        <f>VLOOKUP(A16,Data2!B14:R42,12,FALSE)</f>
        <v>0.01</v>
      </c>
      <c r="J16">
        <f>VLOOKUP(A16,Data2!B14:R42,13,FALSE)</f>
        <v>56.47</v>
      </c>
      <c r="K16">
        <f>VLOOKUP(A16,Data2!B14:R42,15,FALSE)</f>
        <v>35.56</v>
      </c>
      <c r="L16">
        <f>VLOOKUP(A16,Data2!B14:R42,16,FALSE)</f>
        <v>99.69</v>
      </c>
      <c r="M16">
        <v>15.44</v>
      </c>
    </row>
    <row r="17" spans="1:13" x14ac:dyDescent="0.35">
      <c r="A17" s="15" t="s">
        <v>51</v>
      </c>
      <c r="B17">
        <f>VLOOKUP(A17,Data2!B15:O42,14,FALSE)</f>
        <v>22.77</v>
      </c>
      <c r="C17" s="18">
        <f>VLOOKUP(A17,Data2!B15:R43,10,FALSE)</f>
        <v>28.06</v>
      </c>
      <c r="D17">
        <f>VLOOKUP(A17,Data2!B15:R43,11,FALSE)</f>
        <v>262.29000000000002</v>
      </c>
      <c r="E17">
        <f>VLOOKUP(A17,Data2!B15:S43,18,FALSE)</f>
        <v>27.26</v>
      </c>
      <c r="F17">
        <v>-4.97</v>
      </c>
      <c r="G17">
        <f>VLOOKUP(A17,Data2!B15:R43,3,FALSE)</f>
        <v>9.4499999999999993</v>
      </c>
      <c r="I17">
        <f>VLOOKUP(A17,Data2!B15:R43,12,FALSE)</f>
        <v>0.27</v>
      </c>
      <c r="J17">
        <f>VLOOKUP(A17,Data2!B15:R43,13,FALSE)</f>
        <v>27.21</v>
      </c>
      <c r="K17">
        <f>VLOOKUP(A17,Data2!B15:R43,15,FALSE)</f>
        <v>15.44</v>
      </c>
      <c r="L17">
        <f>VLOOKUP(A17,Data2!B15:R43,16,FALSE)</f>
        <v>10.38</v>
      </c>
      <c r="M17">
        <v>13.64</v>
      </c>
    </row>
    <row r="1048575" spans="3:3" x14ac:dyDescent="0.35">
      <c r="C1048575" s="12"/>
    </row>
    <row r="1048576" spans="3:3" x14ac:dyDescent="0.35">
      <c r="C1048576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65B5E-4642-4081-AB2A-146BFB4EA047}">
  <dimension ref="A1:S29"/>
  <sheetViews>
    <sheetView topLeftCell="B1" workbookViewId="0">
      <selection activeCell="S1" sqref="S1"/>
    </sheetView>
  </sheetViews>
  <sheetFormatPr defaultRowHeight="14.5" x14ac:dyDescent="0.35"/>
  <cols>
    <col min="2" max="2" width="14.90625" bestFit="1" customWidth="1"/>
    <col min="3" max="3" width="8.36328125" bestFit="1" customWidth="1"/>
    <col min="7" max="7" width="9" bestFit="1" customWidth="1"/>
    <col min="8" max="8" width="7.453125" bestFit="1" customWidth="1"/>
  </cols>
  <sheetData>
    <row r="1" spans="1:19" ht="42" x14ac:dyDescent="0.3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19" t="s">
        <v>58</v>
      </c>
    </row>
    <row r="2" spans="1:19" x14ac:dyDescent="0.35">
      <c r="A2" s="4">
        <v>1</v>
      </c>
      <c r="B2" s="5" t="s">
        <v>18</v>
      </c>
      <c r="C2" s="6">
        <v>2024.3</v>
      </c>
      <c r="D2" s="6">
        <v>22</v>
      </c>
      <c r="E2" s="6">
        <v>1552486.49</v>
      </c>
      <c r="F2" s="6">
        <v>1.0900000000000001</v>
      </c>
      <c r="G2" s="6">
        <v>17090.43</v>
      </c>
      <c r="H2" s="6">
        <v>-1.32</v>
      </c>
      <c r="I2" s="6">
        <v>87371.87</v>
      </c>
      <c r="J2" s="6">
        <v>7.14</v>
      </c>
      <c r="K2" s="6">
        <v>7.51</v>
      </c>
      <c r="L2" s="6">
        <v>92.26</v>
      </c>
      <c r="M2" s="6">
        <v>6.41</v>
      </c>
      <c r="N2" s="6">
        <v>1.5</v>
      </c>
      <c r="O2" s="6">
        <v>14.45</v>
      </c>
      <c r="P2" s="6">
        <v>35.26</v>
      </c>
      <c r="Q2" s="6">
        <v>22.98</v>
      </c>
      <c r="R2" s="6">
        <v>2.97</v>
      </c>
      <c r="S2" s="17">
        <v>12.98</v>
      </c>
    </row>
    <row r="3" spans="1:19" x14ac:dyDescent="0.35">
      <c r="A3" s="7">
        <v>2</v>
      </c>
      <c r="B3" s="8" t="s">
        <v>19</v>
      </c>
      <c r="C3" s="9">
        <v>1488.6</v>
      </c>
      <c r="D3" s="9">
        <v>20.09</v>
      </c>
      <c r="E3" s="9">
        <v>1062372.45</v>
      </c>
      <c r="F3" s="9">
        <v>0.74</v>
      </c>
      <c r="G3" s="9">
        <v>14456.33</v>
      </c>
      <c r="H3" s="9">
        <v>15.92</v>
      </c>
      <c r="I3" s="9">
        <v>49079.96</v>
      </c>
      <c r="J3" s="9">
        <v>10.09</v>
      </c>
      <c r="K3" s="9">
        <v>7.88</v>
      </c>
      <c r="L3" s="9">
        <v>74.58</v>
      </c>
      <c r="M3" s="9">
        <v>5.97</v>
      </c>
      <c r="N3" s="9">
        <v>1.83</v>
      </c>
      <c r="O3" s="9">
        <v>17.97</v>
      </c>
      <c r="P3" s="9">
        <v>25</v>
      </c>
      <c r="Q3" s="9">
        <v>26.67</v>
      </c>
      <c r="R3" s="9">
        <v>3.4</v>
      </c>
      <c r="S3" s="12">
        <v>22.81</v>
      </c>
    </row>
    <row r="4" spans="1:19" x14ac:dyDescent="0.35">
      <c r="A4" s="10">
        <v>3</v>
      </c>
      <c r="B4" s="5" t="s">
        <v>20</v>
      </c>
      <c r="C4" s="11">
        <v>2170.4</v>
      </c>
      <c r="D4" s="11">
        <v>19.54</v>
      </c>
      <c r="E4" s="11">
        <v>431610.1</v>
      </c>
      <c r="F4" s="11">
        <v>0.12</v>
      </c>
      <c r="G4" s="11">
        <v>4932.76</v>
      </c>
      <c r="H4" s="11">
        <v>-7.58</v>
      </c>
      <c r="I4" s="11">
        <v>16771.93</v>
      </c>
      <c r="J4" s="11">
        <v>10.66</v>
      </c>
      <c r="K4" s="11">
        <v>8.17</v>
      </c>
      <c r="L4" s="11">
        <v>111.29</v>
      </c>
      <c r="M4" s="11">
        <v>3.76</v>
      </c>
      <c r="N4" s="11">
        <v>2.02</v>
      </c>
      <c r="O4" s="11">
        <v>15.37</v>
      </c>
      <c r="P4" s="11">
        <v>24.85</v>
      </c>
      <c r="Q4" s="11">
        <v>22.32</v>
      </c>
      <c r="R4" s="11">
        <v>2.74</v>
      </c>
      <c r="S4" s="6">
        <v>6.06</v>
      </c>
    </row>
    <row r="5" spans="1:19" x14ac:dyDescent="0.35">
      <c r="A5" s="7">
        <v>4</v>
      </c>
      <c r="B5" s="8" t="s">
        <v>21</v>
      </c>
      <c r="C5" s="9">
        <v>1104.8</v>
      </c>
      <c r="D5" s="9">
        <v>12.3</v>
      </c>
      <c r="E5" s="9">
        <v>342634.75</v>
      </c>
      <c r="F5" s="9">
        <v>0.09</v>
      </c>
      <c r="G5" s="9">
        <v>6279.49</v>
      </c>
      <c r="H5" s="9">
        <v>-2.99</v>
      </c>
      <c r="I5" s="9">
        <v>32348.31</v>
      </c>
      <c r="J5" s="9">
        <v>3.82</v>
      </c>
      <c r="K5" s="9">
        <v>7.11</v>
      </c>
      <c r="L5" s="9">
        <v>89.98</v>
      </c>
      <c r="M5" s="9">
        <v>7.43</v>
      </c>
      <c r="N5" s="9">
        <v>1.5</v>
      </c>
      <c r="O5" s="9">
        <v>16.3</v>
      </c>
      <c r="P5" s="9">
        <v>22.76</v>
      </c>
      <c r="Q5" s="9">
        <v>25.72</v>
      </c>
      <c r="R5" s="9">
        <v>1.83</v>
      </c>
      <c r="S5" s="12">
        <v>14.61</v>
      </c>
    </row>
    <row r="6" spans="1:19" x14ac:dyDescent="0.35">
      <c r="A6" s="10">
        <v>5</v>
      </c>
      <c r="B6" s="5" t="s">
        <v>22</v>
      </c>
      <c r="C6" s="11">
        <v>97.38</v>
      </c>
      <c r="D6" s="11">
        <v>13.23</v>
      </c>
      <c r="E6" s="11">
        <v>104717.88</v>
      </c>
      <c r="F6" s="11">
        <v>2.16</v>
      </c>
      <c r="G6" s="11">
        <v>2023.87</v>
      </c>
      <c r="H6" s="11">
        <v>16.420000000000002</v>
      </c>
      <c r="I6" s="11">
        <v>7026.62</v>
      </c>
      <c r="J6" s="11">
        <v>5.35</v>
      </c>
      <c r="K6" s="11">
        <v>6.78</v>
      </c>
      <c r="L6" s="11">
        <v>7.36</v>
      </c>
      <c r="M6" s="11">
        <v>5.35</v>
      </c>
      <c r="N6" s="11">
        <v>1.73</v>
      </c>
      <c r="O6" s="11">
        <v>13.55</v>
      </c>
      <c r="P6" s="11">
        <v>16.440000000000001</v>
      </c>
      <c r="Q6" s="11">
        <v>44.43</v>
      </c>
      <c r="R6" s="11">
        <v>1.7</v>
      </c>
      <c r="S6" s="6">
        <v>40.08</v>
      </c>
    </row>
    <row r="7" spans="1:19" x14ac:dyDescent="0.35">
      <c r="A7" s="7">
        <v>6</v>
      </c>
      <c r="B7" s="8" t="s">
        <v>23</v>
      </c>
      <c r="C7" s="9">
        <v>851.15</v>
      </c>
      <c r="D7" s="9">
        <v>25.1</v>
      </c>
      <c r="E7" s="9">
        <v>66336.87</v>
      </c>
      <c r="F7" s="9">
        <v>1.94</v>
      </c>
      <c r="G7" s="9">
        <v>-2235.9899999999998</v>
      </c>
      <c r="H7" s="9">
        <v>-195.28</v>
      </c>
      <c r="I7" s="9">
        <v>10633.85</v>
      </c>
      <c r="J7" s="9">
        <v>-12.83</v>
      </c>
      <c r="K7" s="9">
        <v>6.49</v>
      </c>
      <c r="L7" s="9">
        <v>33.92</v>
      </c>
      <c r="M7" s="9">
        <v>7.22</v>
      </c>
      <c r="N7" s="9">
        <v>1.1200000000000001</v>
      </c>
      <c r="O7" s="9">
        <v>4.16</v>
      </c>
      <c r="P7" s="9">
        <v>16.45</v>
      </c>
      <c r="Q7" s="9">
        <v>-16.940000000000001</v>
      </c>
      <c r="R7" s="9">
        <v>1.03</v>
      </c>
      <c r="S7" s="12">
        <v>-4.12</v>
      </c>
    </row>
    <row r="8" spans="1:19" x14ac:dyDescent="0.35">
      <c r="A8" s="10">
        <v>7</v>
      </c>
      <c r="B8" s="5" t="s">
        <v>24</v>
      </c>
      <c r="C8" s="11">
        <v>19.899999999999999</v>
      </c>
      <c r="D8" s="11">
        <v>22.77</v>
      </c>
      <c r="E8" s="11">
        <v>62358.45</v>
      </c>
      <c r="F8" s="11">
        <v>0</v>
      </c>
      <c r="G8" s="11">
        <v>808.65</v>
      </c>
      <c r="H8" s="11">
        <v>56.72</v>
      </c>
      <c r="I8" s="11">
        <v>7604.62</v>
      </c>
      <c r="J8" s="11">
        <v>-1.56</v>
      </c>
      <c r="K8" s="11">
        <v>6.36</v>
      </c>
      <c r="L8" s="11">
        <v>0.87</v>
      </c>
      <c r="M8" s="11">
        <v>7.45</v>
      </c>
      <c r="N8" s="11">
        <v>1.17</v>
      </c>
      <c r="O8" s="11">
        <v>5.44</v>
      </c>
      <c r="P8" s="11">
        <v>17.579999999999998</v>
      </c>
      <c r="Q8" s="11">
        <v>31.6</v>
      </c>
      <c r="R8" s="11">
        <v>1.3</v>
      </c>
      <c r="S8" s="6">
        <v>11.98</v>
      </c>
    </row>
    <row r="9" spans="1:19" x14ac:dyDescent="0.35">
      <c r="A9" s="10">
        <v>8</v>
      </c>
      <c r="B9" s="5" t="s">
        <v>25</v>
      </c>
      <c r="C9" s="13">
        <v>3471.4</v>
      </c>
      <c r="D9" s="13">
        <v>92.43</v>
      </c>
      <c r="E9" s="13">
        <v>308359.26</v>
      </c>
      <c r="F9" s="13">
        <v>0.32</v>
      </c>
      <c r="G9" s="13">
        <v>871</v>
      </c>
      <c r="H9" s="13">
        <v>12.97</v>
      </c>
      <c r="I9" s="13">
        <v>14916</v>
      </c>
      <c r="J9" s="13">
        <v>19.39</v>
      </c>
      <c r="K9" s="13">
        <v>19.14</v>
      </c>
      <c r="L9" s="13">
        <v>37.590000000000003</v>
      </c>
      <c r="M9" s="13">
        <v>1.79</v>
      </c>
      <c r="N9" s="13">
        <v>5.76</v>
      </c>
      <c r="O9" s="13">
        <v>31.75</v>
      </c>
      <c r="P9" s="13">
        <v>28.04</v>
      </c>
      <c r="Q9" s="13">
        <v>14.64</v>
      </c>
      <c r="R9" s="13">
        <v>26.51</v>
      </c>
      <c r="S9" s="6">
        <v>14.37</v>
      </c>
    </row>
    <row r="10" spans="1:19" x14ac:dyDescent="0.35">
      <c r="A10" s="10">
        <v>9</v>
      </c>
      <c r="B10" s="8" t="s">
        <v>26</v>
      </c>
      <c r="C10" s="14">
        <v>2375.4</v>
      </c>
      <c r="D10" s="14">
        <v>58.05</v>
      </c>
      <c r="E10" s="14">
        <v>227852.66</v>
      </c>
      <c r="F10" s="14">
        <v>1.04</v>
      </c>
      <c r="G10" s="14">
        <v>700.83</v>
      </c>
      <c r="H10" s="14">
        <v>-35.15</v>
      </c>
      <c r="I10" s="14">
        <v>8358.91</v>
      </c>
      <c r="J10" s="14">
        <v>-4.26</v>
      </c>
      <c r="K10" s="14">
        <v>25.72</v>
      </c>
      <c r="L10" s="14">
        <v>38.229999999999997</v>
      </c>
      <c r="M10" s="14">
        <v>0.12</v>
      </c>
      <c r="N10" s="14">
        <v>25.06</v>
      </c>
      <c r="O10" s="14">
        <v>20.59</v>
      </c>
      <c r="P10" s="14">
        <v>5.23</v>
      </c>
      <c r="Q10" s="14">
        <v>8.4</v>
      </c>
      <c r="R10" s="14">
        <v>11.74</v>
      </c>
      <c r="S10" s="12">
        <v>-8.84</v>
      </c>
    </row>
    <row r="11" spans="1:19" x14ac:dyDescent="0.35">
      <c r="A11" s="10">
        <v>10</v>
      </c>
      <c r="B11" s="5" t="s">
        <v>27</v>
      </c>
      <c r="C11" s="13">
        <v>16556</v>
      </c>
      <c r="D11" s="13">
        <v>116.73</v>
      </c>
      <c r="E11" s="13">
        <v>100165.73</v>
      </c>
      <c r="F11" s="13">
        <v>0.03</v>
      </c>
      <c r="G11" s="13">
        <v>280.02</v>
      </c>
      <c r="H11" s="13">
        <v>68.290000000000006</v>
      </c>
      <c r="I11" s="13">
        <v>12835.66</v>
      </c>
      <c r="J11" s="13">
        <v>95.08</v>
      </c>
      <c r="K11" s="13">
        <v>39.81</v>
      </c>
      <c r="L11" s="13">
        <v>197.39</v>
      </c>
      <c r="M11" s="13">
        <v>0.22</v>
      </c>
      <c r="N11" s="13">
        <v>9.2200000000000006</v>
      </c>
      <c r="O11" s="13">
        <v>32.92</v>
      </c>
      <c r="P11" s="13">
        <v>53.73</v>
      </c>
      <c r="Q11" s="13">
        <v>59.81</v>
      </c>
      <c r="R11" s="13">
        <v>33.130000000000003</v>
      </c>
      <c r="S11" s="6">
        <v>64.540000000000006</v>
      </c>
    </row>
    <row r="12" spans="1:19" x14ac:dyDescent="0.35">
      <c r="A12" s="10">
        <v>11</v>
      </c>
      <c r="B12" s="8" t="s">
        <v>28</v>
      </c>
      <c r="C12" s="14">
        <v>1572.7</v>
      </c>
      <c r="D12" s="14">
        <v>69.94</v>
      </c>
      <c r="E12" s="14">
        <v>98636.61</v>
      </c>
      <c r="F12" s="14">
        <v>0.64</v>
      </c>
      <c r="G12" s="14">
        <v>347.53</v>
      </c>
      <c r="H12" s="14">
        <v>-14.72</v>
      </c>
      <c r="I12" s="14">
        <v>5455.35</v>
      </c>
      <c r="J12" s="14">
        <v>-6.04</v>
      </c>
      <c r="K12" s="14">
        <v>25.32</v>
      </c>
      <c r="L12" s="14">
        <v>22.52</v>
      </c>
      <c r="M12" s="14">
        <v>0.04</v>
      </c>
      <c r="N12" s="14">
        <v>44.39</v>
      </c>
      <c r="O12" s="14">
        <v>18.79</v>
      </c>
      <c r="P12" s="14">
        <v>16.04</v>
      </c>
      <c r="Q12" s="14">
        <v>7.37</v>
      </c>
      <c r="R12" s="14">
        <v>11.85</v>
      </c>
      <c r="S12" s="12">
        <v>8.17</v>
      </c>
    </row>
    <row r="13" spans="1:19" x14ac:dyDescent="0.35">
      <c r="A13" s="10">
        <v>12</v>
      </c>
      <c r="B13" s="5" t="s">
        <v>29</v>
      </c>
      <c r="C13" s="13">
        <v>576.20000000000005</v>
      </c>
      <c r="D13" s="13">
        <v>57.52</v>
      </c>
      <c r="E13" s="13">
        <v>67208.31</v>
      </c>
      <c r="F13" s="13">
        <v>0.66</v>
      </c>
      <c r="G13" s="13">
        <v>262.91000000000003</v>
      </c>
      <c r="H13" s="13">
        <v>17.989999999999998</v>
      </c>
      <c r="I13" s="13">
        <v>2704.03</v>
      </c>
      <c r="J13" s="13">
        <v>7.29</v>
      </c>
      <c r="K13" s="13">
        <v>24.9</v>
      </c>
      <c r="L13" s="13">
        <v>10.119999999999999</v>
      </c>
      <c r="M13" s="13">
        <v>0.11</v>
      </c>
      <c r="N13" s="13">
        <v>25.54</v>
      </c>
      <c r="O13" s="13">
        <v>20.260000000000002</v>
      </c>
      <c r="P13" s="13">
        <v>9.6300000000000008</v>
      </c>
      <c r="Q13" s="13">
        <v>12.41</v>
      </c>
      <c r="R13" s="13">
        <v>10.92</v>
      </c>
      <c r="S13" s="6">
        <v>5.21</v>
      </c>
    </row>
    <row r="14" spans="1:19" x14ac:dyDescent="0.35">
      <c r="A14" s="10">
        <v>13</v>
      </c>
      <c r="B14" s="8" t="s">
        <v>30</v>
      </c>
      <c r="C14" s="14">
        <v>611.79999999999995</v>
      </c>
      <c r="D14" s="14">
        <v>88.36</v>
      </c>
      <c r="E14" s="14">
        <v>63104.74</v>
      </c>
      <c r="F14" s="14">
        <v>0.2</v>
      </c>
      <c r="G14" s="14">
        <v>187.61</v>
      </c>
      <c r="H14" s="14">
        <v>36.450000000000003</v>
      </c>
      <c r="I14" s="14">
        <v>6181.53</v>
      </c>
      <c r="J14" s="14">
        <v>36.61</v>
      </c>
      <c r="K14" s="14">
        <v>14.31</v>
      </c>
      <c r="L14" s="14">
        <v>6.93</v>
      </c>
      <c r="M14" s="14">
        <v>1.03</v>
      </c>
      <c r="N14" s="14">
        <v>3.67</v>
      </c>
      <c r="O14" s="14">
        <v>15.88</v>
      </c>
      <c r="P14" s="14">
        <v>32.29</v>
      </c>
      <c r="Q14" s="14">
        <v>47.23</v>
      </c>
      <c r="R14" s="14">
        <v>13.14</v>
      </c>
      <c r="S14" s="12">
        <v>111.22</v>
      </c>
    </row>
    <row r="15" spans="1:19" x14ac:dyDescent="0.35">
      <c r="A15" s="10">
        <v>14</v>
      </c>
      <c r="B15" s="5" t="s">
        <v>31</v>
      </c>
      <c r="C15" s="13">
        <v>1367.6</v>
      </c>
      <c r="D15" s="13">
        <v>54.95</v>
      </c>
      <c r="E15" s="13">
        <v>45251.79</v>
      </c>
      <c r="F15" s="13">
        <v>0.51</v>
      </c>
      <c r="G15" s="13">
        <v>235.69</v>
      </c>
      <c r="H15" s="13">
        <v>113.02</v>
      </c>
      <c r="I15" s="13">
        <v>4767.5600000000004</v>
      </c>
      <c r="J15" s="13">
        <v>13.44</v>
      </c>
      <c r="K15" s="13">
        <v>17.64</v>
      </c>
      <c r="L15" s="13">
        <v>25.43</v>
      </c>
      <c r="M15" s="13">
        <v>0.14000000000000001</v>
      </c>
      <c r="N15" s="13">
        <v>19.920000000000002</v>
      </c>
      <c r="O15" s="13">
        <v>13.35</v>
      </c>
      <c r="P15" s="13">
        <v>24.77</v>
      </c>
      <c r="Q15" s="13">
        <v>17.71</v>
      </c>
      <c r="R15" s="13">
        <v>6.95</v>
      </c>
      <c r="S15" s="6">
        <v>10.37</v>
      </c>
    </row>
    <row r="16" spans="1:19" x14ac:dyDescent="0.35">
      <c r="A16" s="10">
        <v>15</v>
      </c>
      <c r="B16" s="8" t="s">
        <v>32</v>
      </c>
      <c r="C16" s="14">
        <v>1749.2</v>
      </c>
      <c r="D16" s="14">
        <v>61.47</v>
      </c>
      <c r="E16" s="14">
        <v>35974.29</v>
      </c>
      <c r="F16" s="14">
        <v>0.51</v>
      </c>
      <c r="G16" s="14">
        <v>194</v>
      </c>
      <c r="H16" s="14">
        <v>21.24</v>
      </c>
      <c r="I16" s="14">
        <v>4018.96</v>
      </c>
      <c r="J16" s="14">
        <v>20.77</v>
      </c>
      <c r="K16" s="14">
        <v>26.2</v>
      </c>
      <c r="L16" s="14">
        <v>28.75</v>
      </c>
      <c r="M16" s="14">
        <v>0.12</v>
      </c>
      <c r="N16" s="14">
        <v>16.920000000000002</v>
      </c>
      <c r="O16" s="14">
        <v>20.62</v>
      </c>
      <c r="P16" s="14">
        <v>25.43</v>
      </c>
      <c r="Q16" s="14">
        <v>52.09</v>
      </c>
      <c r="R16" s="14">
        <v>11.73</v>
      </c>
      <c r="S16" s="12">
        <v>52.42</v>
      </c>
    </row>
    <row r="17" spans="1:19" x14ac:dyDescent="0.35">
      <c r="A17" s="10">
        <v>16</v>
      </c>
      <c r="B17" s="5" t="s">
        <v>33</v>
      </c>
      <c r="C17" s="13">
        <v>7312.5</v>
      </c>
      <c r="D17" s="13">
        <v>101.01</v>
      </c>
      <c r="E17" s="13">
        <v>24785.13</v>
      </c>
      <c r="F17" s="13">
        <v>0</v>
      </c>
      <c r="G17" s="13">
        <v>118.42</v>
      </c>
      <c r="H17" s="13">
        <v>22.6</v>
      </c>
      <c r="I17" s="13">
        <v>3753.7</v>
      </c>
      <c r="J17" s="13">
        <v>33.799999999999997</v>
      </c>
      <c r="K17" s="13">
        <v>14.49</v>
      </c>
      <c r="L17" s="13">
        <v>72.010000000000005</v>
      </c>
      <c r="M17" s="13">
        <v>0.9</v>
      </c>
      <c r="N17" s="13">
        <v>2.79</v>
      </c>
      <c r="O17" s="13">
        <v>11.28</v>
      </c>
      <c r="P17" s="13">
        <v>33.340000000000003</v>
      </c>
      <c r="Q17" s="13">
        <v>30.14</v>
      </c>
      <c r="R17" s="13">
        <v>10.82</v>
      </c>
      <c r="S17" s="6">
        <v>44.83</v>
      </c>
    </row>
    <row r="18" spans="1:19" x14ac:dyDescent="0.35">
      <c r="A18" s="10">
        <v>17</v>
      </c>
      <c r="B18" s="8" t="s">
        <v>34</v>
      </c>
      <c r="C18" s="14">
        <v>791.15</v>
      </c>
      <c r="D18" s="14">
        <v>77.98</v>
      </c>
      <c r="E18" s="14">
        <v>22441.63</v>
      </c>
      <c r="F18" s="14">
        <v>0.03</v>
      </c>
      <c r="G18" s="14">
        <v>145.22999999999999</v>
      </c>
      <c r="H18" s="14">
        <v>108.81</v>
      </c>
      <c r="I18" s="14">
        <v>1909.86</v>
      </c>
      <c r="J18" s="14">
        <v>77.400000000000006</v>
      </c>
      <c r="K18" s="14">
        <v>19.36</v>
      </c>
      <c r="L18" s="14">
        <v>10.17</v>
      </c>
      <c r="M18" s="14">
        <v>0.14000000000000001</v>
      </c>
      <c r="N18" s="14">
        <v>5.0999999999999996</v>
      </c>
      <c r="O18" s="14">
        <v>14.89</v>
      </c>
      <c r="P18" s="14">
        <v>63.62</v>
      </c>
      <c r="Q18" s="14">
        <v>99.57</v>
      </c>
      <c r="R18" s="14">
        <v>7.92</v>
      </c>
      <c r="S18" s="12">
        <v>105.08</v>
      </c>
    </row>
    <row r="19" spans="1:19" x14ac:dyDescent="0.35">
      <c r="A19" s="10">
        <v>18</v>
      </c>
      <c r="B19" s="5" t="s">
        <v>35</v>
      </c>
      <c r="C19" s="13">
        <v>340</v>
      </c>
      <c r="D19" s="13">
        <v>39.35</v>
      </c>
      <c r="E19" s="13">
        <v>21877.98</v>
      </c>
      <c r="F19" s="13">
        <v>0.88</v>
      </c>
      <c r="G19" s="13">
        <v>171.74</v>
      </c>
      <c r="H19" s="13">
        <v>27.02</v>
      </c>
      <c r="I19" s="13">
        <v>2060.64</v>
      </c>
      <c r="J19" s="13">
        <v>5.08</v>
      </c>
      <c r="K19" s="13">
        <v>19.010000000000002</v>
      </c>
      <c r="L19" s="13">
        <v>8.64</v>
      </c>
      <c r="M19" s="13">
        <v>0.14000000000000001</v>
      </c>
      <c r="N19" s="13">
        <v>16.760000000000002</v>
      </c>
      <c r="O19" s="13">
        <v>17.399999999999999</v>
      </c>
      <c r="P19" s="13">
        <v>13.39</v>
      </c>
      <c r="Q19" s="13">
        <v>-1.87</v>
      </c>
      <c r="R19" s="13">
        <v>6.46</v>
      </c>
      <c r="S19" s="6">
        <v>-3.78</v>
      </c>
    </row>
    <row r="20" spans="1:19" x14ac:dyDescent="0.35">
      <c r="A20" s="10">
        <v>19</v>
      </c>
      <c r="B20" s="8" t="s">
        <v>36</v>
      </c>
      <c r="C20" s="14">
        <v>1445.4</v>
      </c>
      <c r="D20" s="14">
        <v>51.91</v>
      </c>
      <c r="E20" s="14">
        <v>18379.68</v>
      </c>
      <c r="F20" s="14">
        <v>0.35</v>
      </c>
      <c r="G20" s="14">
        <v>119.47</v>
      </c>
      <c r="H20" s="14">
        <v>26.11</v>
      </c>
      <c r="I20" s="14">
        <v>2004.67</v>
      </c>
      <c r="J20" s="14">
        <v>15.61</v>
      </c>
      <c r="K20" s="14">
        <v>12.99</v>
      </c>
      <c r="L20" s="14">
        <v>28.3</v>
      </c>
      <c r="M20" s="14">
        <v>0.02</v>
      </c>
      <c r="N20" s="14">
        <v>11.78</v>
      </c>
      <c r="O20" s="14">
        <v>9.27</v>
      </c>
      <c r="P20" s="14">
        <v>8.52</v>
      </c>
      <c r="Q20" s="14">
        <v>7.26</v>
      </c>
      <c r="R20" s="14">
        <v>4.6399999999999997</v>
      </c>
      <c r="S20" s="12">
        <v>-6.53</v>
      </c>
    </row>
    <row r="21" spans="1:19" x14ac:dyDescent="0.35">
      <c r="A21" s="10">
        <v>20</v>
      </c>
      <c r="B21" s="5" t="s">
        <v>37</v>
      </c>
      <c r="C21" s="13">
        <v>1205.2</v>
      </c>
      <c r="D21" s="13">
        <v>64.08</v>
      </c>
      <c r="E21" s="13">
        <v>15491.42</v>
      </c>
      <c r="F21" s="13">
        <v>1.58</v>
      </c>
      <c r="G21" s="13">
        <v>45.92</v>
      </c>
      <c r="H21" s="13">
        <v>-27.86</v>
      </c>
      <c r="I21" s="13">
        <v>788.21</v>
      </c>
      <c r="J21" s="13">
        <v>-1.21</v>
      </c>
      <c r="K21" s="13">
        <v>15.14</v>
      </c>
      <c r="L21" s="13">
        <v>25.73</v>
      </c>
      <c r="M21" s="13">
        <v>0.92</v>
      </c>
      <c r="N21" s="13">
        <v>3.17</v>
      </c>
      <c r="O21" s="13">
        <v>15.59</v>
      </c>
      <c r="P21" s="13">
        <v>13.47</v>
      </c>
      <c r="Q21" s="13">
        <v>33.11</v>
      </c>
      <c r="R21" s="13">
        <v>9.84</v>
      </c>
      <c r="S21" s="6">
        <v>-12.95</v>
      </c>
    </row>
    <row r="22" spans="1:19" x14ac:dyDescent="0.35">
      <c r="A22" s="10">
        <v>21</v>
      </c>
      <c r="B22" s="5" t="s">
        <v>38</v>
      </c>
      <c r="C22" s="11">
        <v>3268.8</v>
      </c>
      <c r="D22" s="11">
        <v>31.42</v>
      </c>
      <c r="E22" s="11">
        <v>406260.2</v>
      </c>
      <c r="F22" s="11">
        <v>0.77</v>
      </c>
      <c r="G22" s="11">
        <v>3541.85</v>
      </c>
      <c r="H22" s="11">
        <v>19.649999999999999</v>
      </c>
      <c r="I22" s="11">
        <v>42599.31</v>
      </c>
      <c r="J22" s="11">
        <v>20.16</v>
      </c>
      <c r="K22" s="11">
        <v>13.93</v>
      </c>
      <c r="L22" s="11">
        <v>103.97</v>
      </c>
      <c r="M22" s="11">
        <v>1.67</v>
      </c>
      <c r="N22" s="11">
        <v>3.1</v>
      </c>
      <c r="O22" s="11">
        <v>18.05</v>
      </c>
      <c r="P22" s="11">
        <v>20.87</v>
      </c>
      <c r="Q22" s="11">
        <v>27.17</v>
      </c>
      <c r="R22" s="11">
        <v>5.28</v>
      </c>
      <c r="S22" s="20">
        <v>10.37</v>
      </c>
    </row>
    <row r="23" spans="1:19" x14ac:dyDescent="0.35">
      <c r="A23" s="10">
        <v>22</v>
      </c>
      <c r="B23" s="8" t="s">
        <v>39</v>
      </c>
      <c r="C23" s="12">
        <v>12627</v>
      </c>
      <c r="D23" s="12">
        <v>27.37</v>
      </c>
      <c r="E23" s="12">
        <v>396834.12</v>
      </c>
      <c r="F23" s="12">
        <v>1.07</v>
      </c>
      <c r="G23" s="12">
        <v>3911.1</v>
      </c>
      <c r="H23" s="12">
        <v>-1.04</v>
      </c>
      <c r="I23" s="12">
        <v>40920.1</v>
      </c>
      <c r="J23" s="12">
        <v>6.37</v>
      </c>
      <c r="K23" s="12">
        <v>21.76</v>
      </c>
      <c r="L23" s="12">
        <v>461.2</v>
      </c>
      <c r="M23" s="12">
        <v>0</v>
      </c>
      <c r="N23" s="12">
        <v>102.03</v>
      </c>
      <c r="O23" s="12">
        <v>15.95</v>
      </c>
      <c r="P23" s="12">
        <v>20.07</v>
      </c>
      <c r="Q23" s="12">
        <v>72.510000000000005</v>
      </c>
      <c r="R23" s="12">
        <v>4.13</v>
      </c>
      <c r="S23" s="20">
        <v>13.35</v>
      </c>
    </row>
    <row r="24" spans="1:19" x14ac:dyDescent="0.35">
      <c r="A24" s="10">
        <v>23</v>
      </c>
      <c r="B24" s="5" t="s">
        <v>40</v>
      </c>
      <c r="C24" s="11">
        <v>690.1</v>
      </c>
      <c r="D24" s="11">
        <v>9</v>
      </c>
      <c r="E24" s="11">
        <v>254112.56</v>
      </c>
      <c r="F24" s="11">
        <v>0.87</v>
      </c>
      <c r="G24" s="11">
        <v>8556</v>
      </c>
      <c r="H24" s="11">
        <v>-49.58</v>
      </c>
      <c r="I24" s="11">
        <v>119503</v>
      </c>
      <c r="J24" s="11">
        <v>0.39</v>
      </c>
      <c r="K24" s="11">
        <v>19.97</v>
      </c>
      <c r="L24" s="11">
        <v>75.599999999999994</v>
      </c>
      <c r="M24" s="11">
        <v>0.62</v>
      </c>
      <c r="N24" s="11">
        <v>7.75</v>
      </c>
      <c r="O24" s="11">
        <v>28.08</v>
      </c>
      <c r="P24" s="11">
        <v>16.45</v>
      </c>
      <c r="Q24" s="11">
        <v>65.489999999999995</v>
      </c>
      <c r="R24" s="11">
        <v>2.19</v>
      </c>
      <c r="S24" s="6">
        <v>15.93</v>
      </c>
    </row>
    <row r="25" spans="1:19" x14ac:dyDescent="0.35">
      <c r="A25" s="10">
        <v>24</v>
      </c>
      <c r="B25" s="8" t="s">
        <v>41</v>
      </c>
      <c r="C25" s="9">
        <v>2117.1</v>
      </c>
      <c r="D25" s="9">
        <v>31.34</v>
      </c>
      <c r="E25" s="9">
        <v>172104.46</v>
      </c>
      <c r="F25" s="9">
        <v>0</v>
      </c>
      <c r="G25" s="9">
        <v>1582.56</v>
      </c>
      <c r="H25" s="9">
        <v>-4.05</v>
      </c>
      <c r="I25" s="9">
        <v>17561.95</v>
      </c>
      <c r="J25" s="9">
        <v>2.5099999999999998</v>
      </c>
      <c r="K25" s="9">
        <v>54.22</v>
      </c>
      <c r="L25" s="9">
        <v>67.59</v>
      </c>
      <c r="M25" s="9">
        <v>0.05</v>
      </c>
      <c r="N25" s="9">
        <v>59.13</v>
      </c>
      <c r="O25" s="9">
        <v>42.16</v>
      </c>
      <c r="P25" s="9">
        <v>12.88</v>
      </c>
      <c r="Q25" s="9">
        <v>24.22</v>
      </c>
      <c r="R25" s="9">
        <v>10.91</v>
      </c>
      <c r="S25" s="12"/>
    </row>
    <row r="26" spans="1:19" x14ac:dyDescent="0.35">
      <c r="A26" s="10">
        <v>25</v>
      </c>
      <c r="B26" s="5" t="s">
        <v>42</v>
      </c>
      <c r="C26" s="11">
        <v>17140</v>
      </c>
      <c r="D26" s="11">
        <v>37.36</v>
      </c>
      <c r="E26" s="11">
        <v>22584.11</v>
      </c>
      <c r="F26" s="11">
        <v>0.12</v>
      </c>
      <c r="G26" s="11">
        <v>176.36</v>
      </c>
      <c r="H26" s="11">
        <v>52.4</v>
      </c>
      <c r="I26" s="11">
        <v>2297.25</v>
      </c>
      <c r="J26" s="11">
        <v>21.88</v>
      </c>
      <c r="K26" s="11">
        <v>29.8</v>
      </c>
      <c r="L26" s="11">
        <v>653.73</v>
      </c>
      <c r="M26" s="11">
        <v>0.01</v>
      </c>
      <c r="N26" s="11">
        <v>56.47</v>
      </c>
      <c r="O26" s="11">
        <v>20.68</v>
      </c>
      <c r="P26" s="11">
        <v>35.56</v>
      </c>
      <c r="Q26" s="11">
        <v>99.69</v>
      </c>
      <c r="R26" s="11">
        <v>7.45</v>
      </c>
      <c r="S26" s="6">
        <v>163.27000000000001</v>
      </c>
    </row>
    <row r="27" spans="1:19" x14ac:dyDescent="0.35">
      <c r="A27" s="10">
        <v>26</v>
      </c>
      <c r="B27" s="8" t="s">
        <v>43</v>
      </c>
      <c r="C27" s="9">
        <v>1327.3</v>
      </c>
      <c r="D27" s="9">
        <v>78.47</v>
      </c>
      <c r="E27" s="9">
        <v>10898.01</v>
      </c>
      <c r="F27" s="9">
        <v>0.03</v>
      </c>
      <c r="G27" s="9">
        <v>20.68</v>
      </c>
      <c r="H27" s="9">
        <v>50.84</v>
      </c>
      <c r="I27" s="9">
        <v>448.92</v>
      </c>
      <c r="J27" s="9">
        <v>55.44</v>
      </c>
      <c r="K27" s="9">
        <v>20.39</v>
      </c>
      <c r="L27" s="9">
        <v>16.920000000000002</v>
      </c>
      <c r="M27" s="9">
        <v>0.24</v>
      </c>
      <c r="N27" s="9">
        <v>4.67</v>
      </c>
      <c r="O27" s="9">
        <v>14.15</v>
      </c>
      <c r="P27" s="9">
        <v>44.82</v>
      </c>
      <c r="Q27" s="9">
        <v>55.48</v>
      </c>
      <c r="R27" s="9">
        <v>10.38</v>
      </c>
      <c r="S27" s="12">
        <v>33.340000000000003</v>
      </c>
    </row>
    <row r="28" spans="1:19" x14ac:dyDescent="0.35">
      <c r="A28" s="10">
        <v>27</v>
      </c>
      <c r="B28" s="5" t="s">
        <v>44</v>
      </c>
      <c r="C28" s="11">
        <v>50.97</v>
      </c>
      <c r="D28" s="11">
        <v>122.41</v>
      </c>
      <c r="E28" s="11">
        <v>968.29</v>
      </c>
      <c r="F28" s="11">
        <v>0</v>
      </c>
      <c r="G28" s="11">
        <v>1.55</v>
      </c>
      <c r="H28" s="11">
        <v>573.91</v>
      </c>
      <c r="I28" s="11">
        <v>30.68</v>
      </c>
      <c r="J28" s="11">
        <v>450.81</v>
      </c>
      <c r="K28" s="11">
        <v>5.15</v>
      </c>
      <c r="L28" s="11">
        <v>0.42</v>
      </c>
      <c r="M28" s="11">
        <v>0.02</v>
      </c>
      <c r="N28" s="11">
        <v>12.44</v>
      </c>
      <c r="O28" s="11">
        <v>4.42</v>
      </c>
      <c r="P28" s="11">
        <v>323.52</v>
      </c>
      <c r="Q28" s="11">
        <v>225.2</v>
      </c>
      <c r="R28" s="11">
        <v>3.5</v>
      </c>
      <c r="S28" s="6">
        <v>168.55</v>
      </c>
    </row>
    <row r="29" spans="1:19" x14ac:dyDescent="0.35">
      <c r="A29" s="16">
        <v>28</v>
      </c>
      <c r="B29" s="5" t="s">
        <v>51</v>
      </c>
      <c r="C29" s="17">
        <v>8288.5</v>
      </c>
      <c r="D29" s="17">
        <v>9.4499999999999993</v>
      </c>
      <c r="E29" s="17">
        <v>31.7</v>
      </c>
      <c r="F29" s="17">
        <v>231535.74</v>
      </c>
      <c r="G29" s="17">
        <v>2.5299999999999998</v>
      </c>
      <c r="H29" s="17">
        <v>1801.85</v>
      </c>
      <c r="I29" s="17">
        <v>-10.42</v>
      </c>
      <c r="J29" s="17">
        <v>12646.32</v>
      </c>
      <c r="K29" s="17">
        <v>28.06</v>
      </c>
      <c r="L29" s="17">
        <v>262.29000000000002</v>
      </c>
      <c r="M29" s="17">
        <v>0.27</v>
      </c>
      <c r="N29" s="17">
        <v>27.21</v>
      </c>
      <c r="O29" s="17">
        <v>22.77</v>
      </c>
      <c r="P29" s="17">
        <v>15.44</v>
      </c>
      <c r="Q29" s="17">
        <v>10.38</v>
      </c>
      <c r="R29" s="17">
        <v>6.58</v>
      </c>
      <c r="S29" s="6">
        <v>27.26</v>
      </c>
    </row>
  </sheetData>
  <hyperlinks>
    <hyperlink ref="B2" r:id="rId1" display="https://www.screener.in/company/HDFCBANK/consolidated/" xr:uid="{73AFBB36-7A26-4E05-BDF9-B27066509B73}"/>
    <hyperlink ref="B3" r:id="rId2" display="https://www.screener.in/company/ICICIBANK/consolidated/" xr:uid="{8540C5D2-499C-4691-A1FC-5B115A56C55D}"/>
    <hyperlink ref="B4" r:id="rId3" display="https://www.screener.in/company/KOTAKBANK/consolidated/" xr:uid="{4A5A38B4-8938-4D12-8A3E-5D5A2D83D3F1}"/>
    <hyperlink ref="B5" r:id="rId4" display="https://www.screener.in/company/AXISBANK/consolidated/" xr:uid="{F9CAC4E4-2287-4A33-B182-A4288B1F84A3}"/>
    <hyperlink ref="B6" r:id="rId5" display="https://www.screener.in/company/IDBI/consolidated/" xr:uid="{DEFA5EC2-7664-4B92-8AD1-A032146DF06C}"/>
    <hyperlink ref="B7" r:id="rId6" display="https://www.screener.in/company/INDUSINDBK/" xr:uid="{77E3A24B-FA7D-4331-88F4-0D476228A05E}"/>
    <hyperlink ref="B8" r:id="rId7" display="https://www.screener.in/company/YESBANK/consolidated/" xr:uid="{ABC0573F-42F8-4061-9609-C57545AEB815}"/>
    <hyperlink ref="B9" r:id="rId8" display="https://www.screener.in/company/TITAN/consolidated/" xr:uid="{FC509DCB-82E5-46E4-B32C-A49C0F6AC339}"/>
    <hyperlink ref="B10" r:id="rId9" display="https://www.screener.in/company/ASIANPAINT/consolidated/" xr:uid="{F242DB17-E7E8-4DD1-98C5-C08303CCAEA7}"/>
    <hyperlink ref="B11" r:id="rId10" display="https://www.screener.in/company/DIXON/consolidated/" xr:uid="{34B4216D-E451-4115-8603-6756485CA7F7}"/>
    <hyperlink ref="B12" r:id="rId11" display="https://www.screener.in/company/HAVELLS/consolidated/" xr:uid="{05EE5641-9F21-49D2-9918-F579B84F3DB2}"/>
    <hyperlink ref="B13" r:id="rId12" display="https://www.screener.in/company/BERGEPAINT/consolidated/" xr:uid="{97C0F671-EC87-448F-9DF9-AC4909876FB2}"/>
    <hyperlink ref="B14" r:id="rId13" display="https://www.screener.in/company/KALYANKJIL/consolidated/" xr:uid="{08359D73-33C8-45A3-98D9-79D3384CAEB6}"/>
    <hyperlink ref="B15" r:id="rId14" display="https://www.screener.in/company/VOLTAS/consolidated/" xr:uid="{F90C8DFB-7688-4B8A-8740-8D07C0649490}"/>
    <hyperlink ref="B16" r:id="rId15" display="https://www.screener.in/company/BLUESTARCO/consolidated/" xr:uid="{4BFBD743-F1EC-4B4F-9A24-C1B05E8B8553}"/>
    <hyperlink ref="B17" r:id="rId16" display="https://www.screener.in/company/AMBER/consolidated/" xr:uid="{164E31FE-BFEB-4B7E-BA9D-3988BC6B20B1}"/>
    <hyperlink ref="B18" r:id="rId17" display="https://www.screener.in/company/PGEL/consolidated/" xr:uid="{63ACE630-B967-4655-8812-11FD5629C23F}"/>
    <hyperlink ref="B19" r:id="rId18" display="https://www.screener.in/company/CROMPTON/consolidated/" xr:uid="{4F975701-FE04-4E83-A436-ED66AFC41024}"/>
    <hyperlink ref="B20" r:id="rId19" display="https://www.screener.in/company/WHIRLPOOL/consolidated/" xr:uid="{0962E396-1CFD-465B-B9BB-7EABC99FB00A}"/>
    <hyperlink ref="B21" r:id="rId20" display="https://www.screener.in/company/BATAINDIA/consolidated/" xr:uid="{066A531C-53EB-4B1B-A81A-1178D99F3B75}"/>
    <hyperlink ref="B22" r:id="rId21" display="https://www.screener.in/company/M&amp;M/consolidated/" xr:uid="{B2079375-2873-40A7-B010-C82AA0AB0AC9}"/>
    <hyperlink ref="B23" r:id="rId22" display="https://www.screener.in/company/MARUTI/consolidated/" xr:uid="{D3481E76-E7C5-4611-A8B7-C39315183779}"/>
    <hyperlink ref="B24" r:id="rId23" display="https://www.screener.in/company/TATAMOTORS/consolidated/" xr:uid="{A3421495-242C-4EDA-9693-7F37A4098B7A}"/>
    <hyperlink ref="B25" r:id="rId24" display="https://www.screener.in/company/HYUNDAI/" xr:uid="{971105F3-D024-4640-A8A0-A7F82DE95FA9}"/>
    <hyperlink ref="B26" r:id="rId25" display="https://www.screener.in/company/FORCEMOT/consolidated/" xr:uid="{2AEADAEE-2185-4A90-BB2A-E6E45536D1D3}"/>
    <hyperlink ref="B27" r:id="rId26" display="https://www.screener.in/company/OLECTRA/consolidated/" xr:uid="{75EE1287-4A52-4E97-8B23-C8636603380D}"/>
    <hyperlink ref="B28" r:id="rId27" display="https://www.screener.in/company/531357/consolidated/" xr:uid="{6DD8F4AB-C263-4115-8727-8661C302F6CC}"/>
    <hyperlink ref="B29" r:id="rId28" display="https://www.screener.in/company/BAJAJ-AUTO/consolidated/" xr:uid="{57EB4B19-9A65-44D2-89F0-544D82FF95A3}"/>
  </hyperlinks>
  <pageMargins left="0.7" right="0.7" top="0.75" bottom="0.75" header="0.3" footer="0.3"/>
  <pageSetup paperSize="9" orientation="portrait" r:id="rId2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Con. D</vt:lpstr>
      <vt:lpstr>Banking</vt:lpstr>
      <vt:lpstr>Auto. M</vt:lpstr>
      <vt:lpstr>data</vt:lpstr>
      <vt:lpstr>Data2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Nirmitee Mhatre</dc:creator>
  <cp:lastModifiedBy>Nirmitee Mhatre</cp:lastModifiedBy>
  <dcterms:created xsi:type="dcterms:W3CDTF">2025-07-23T18:47:52Z</dcterms:created>
  <dcterms:modified xsi:type="dcterms:W3CDTF">2026-01-27T13:07:13Z</dcterms:modified>
</cp:coreProperties>
</file>